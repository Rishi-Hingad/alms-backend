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smplr\Downloads\"/>
    </mc:Choice>
  </mc:AlternateContent>
  <xr:revisionPtr revIDLastSave="0" documentId="13_ncr:1_{C12BDADB-C629-46ED-B99C-B357B0C81016}" xr6:coauthVersionLast="47" xr6:coauthVersionMax="47" xr10:uidLastSave="{00000000-0000-0000-0000-000000000000}"/>
  <bookViews>
    <workbookView xWindow="-110" yWindow="-110" windowWidth="19420" windowHeight="11500" activeTab="2" xr2:uid="{00000000-000D-0000-FFFF-FFFF00000000}"/>
  </bookViews>
  <sheets>
    <sheet name="Table 1" sheetId="14" r:id="rId1"/>
    <sheet name="Revised Form15CB" sheetId="5" r:id="rId2"/>
    <sheet name="Basic Data" sheetId="2" r:id="rId3"/>
    <sheet name="2015-16" sheetId="3" r:id="rId4"/>
  </sheets>
  <definedNames>
    <definedName name="_xlnm.Print_Area" localSheetId="1">'Revised Form15CB'!$A$1:$F$67</definedName>
    <definedName name="_xlnm.Print_Area" localSheetId="0">'Table 1'!$A$1:$D$67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2" l="1"/>
  <c r="Q3" i="3"/>
  <c r="K3" i="3"/>
  <c r="J3" i="3"/>
  <c r="I3" i="3"/>
  <c r="H3" i="3"/>
  <c r="F3" i="3"/>
  <c r="F1" i="5" l="1"/>
  <c r="E28" i="5"/>
  <c r="E27" i="5"/>
  <c r="G35" i="5" l="1"/>
  <c r="I6" i="2"/>
  <c r="I5" i="2"/>
  <c r="N16" i="2" l="1"/>
  <c r="C43" i="14"/>
  <c r="C41" i="14"/>
  <c r="C45" i="14" s="1"/>
  <c r="I17" i="2" l="1"/>
  <c r="L7" i="2"/>
  <c r="M10" i="2" s="1"/>
  <c r="P10" i="2" s="1"/>
  <c r="E42" i="5" l="1"/>
  <c r="V3" i="3" s="1"/>
  <c r="A11" i="2"/>
  <c r="F64" i="5" l="1"/>
  <c r="R3" i="3"/>
  <c r="C10" i="2"/>
  <c r="E64" i="5"/>
  <c r="G14" i="2"/>
  <c r="C11" i="2" l="1"/>
  <c r="M3" i="3" s="1"/>
  <c r="L3" i="3"/>
  <c r="E67" i="5"/>
  <c r="G15" i="2" l="1"/>
  <c r="C27" i="2"/>
  <c r="C26" i="2" s="1"/>
  <c r="P14" i="2"/>
  <c r="F23" i="5"/>
  <c r="E23" i="5"/>
  <c r="D20" i="5"/>
  <c r="C3" i="3" s="1"/>
  <c r="D30" i="2"/>
  <c r="B69" i="5" s="1"/>
  <c r="G13" i="2"/>
  <c r="F10" i="2"/>
  <c r="F11" i="2" s="1"/>
  <c r="F12" i="2" s="1"/>
  <c r="A12" i="2"/>
  <c r="D21" i="5"/>
  <c r="U3" i="3" s="1"/>
  <c r="E29" i="5" l="1"/>
  <c r="G10" i="2"/>
  <c r="E25" i="5" s="1"/>
  <c r="B17" i="5"/>
  <c r="E61" i="5" l="1"/>
  <c r="C12" i="2"/>
  <c r="G11" i="2"/>
  <c r="N3" i="3" l="1"/>
  <c r="D18" i="2"/>
  <c r="G12" i="2"/>
  <c r="E66" i="5" s="1"/>
  <c r="D10" i="2" l="1"/>
  <c r="E16" i="2"/>
  <c r="E10" i="2" l="1"/>
  <c r="D11" i="2"/>
  <c r="P11" i="2"/>
  <c r="F62" i="5"/>
  <c r="F26" i="5"/>
  <c r="F43" i="5" l="1"/>
  <c r="F25" i="5"/>
  <c r="Q11" i="2"/>
  <c r="E11" i="2"/>
  <c r="E12" i="2" s="1"/>
  <c r="D12" i="2"/>
  <c r="E34" i="5"/>
  <c r="E35" i="5"/>
  <c r="F66" i="5" l="1"/>
  <c r="O3" i="3" s="1"/>
  <c r="F61" i="5"/>
  <c r="F44" i="5"/>
  <c r="P12" i="2"/>
  <c r="G6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Mustufa Makwana</author>
  </authors>
  <commentList>
    <comment ref="E42" authorId="0" shapeId="0" xr:uid="{00000000-0006-0000-0100-000001000000}">
      <text>
        <r>
          <rPr>
            <b/>
            <sz val="9"/>
            <color indexed="81"/>
            <rFont val="Tahoma"/>
            <family val="2"/>
          </rPr>
          <t>Mustufa Makwana:</t>
        </r>
        <r>
          <rPr>
            <sz val="9"/>
            <color indexed="81"/>
            <rFont val="Tahoma"/>
            <family val="2"/>
          </rPr>
          <t xml:space="preserve">
Nature of payment as per DTAA</t>
        </r>
      </text>
    </comment>
    <comment ref="E46" authorId="0" shapeId="0" xr:uid="{00000000-0006-0000-0100-000002000000}">
      <text>
        <r>
          <rPr>
            <b/>
            <sz val="9"/>
            <color indexed="81"/>
            <rFont val="Tahoma"/>
            <family val="2"/>
          </rPr>
          <t>Mustufa Makwana:</t>
        </r>
        <r>
          <rPr>
            <sz val="9"/>
            <color indexed="81"/>
            <rFont val="Tahoma"/>
            <family val="2"/>
          </rPr>
          <t xml:space="preserve">
Nature of payment as per DTAA</t>
        </r>
      </text>
    </comment>
  </commentList>
</comments>
</file>

<file path=xl/sharedStrings.xml><?xml version="1.0" encoding="utf-8"?>
<sst xmlns="http://schemas.openxmlformats.org/spreadsheetml/2006/main" count="303" uniqueCount="267">
  <si>
    <t>FORM NO. 15CB</t>
  </si>
  <si>
    <t>Certificate of an accountant*</t>
  </si>
  <si>
    <t>A</t>
  </si>
  <si>
    <t xml:space="preserve">Name and address of the beneficiary of the remittance:    </t>
  </si>
  <si>
    <t>B</t>
  </si>
  <si>
    <t>Country to which remittance is made</t>
  </si>
  <si>
    <t>In foreign currency</t>
  </si>
  <si>
    <t>BSR Code of the bank branch (7 digit)</t>
  </si>
  <si>
    <t>Proposed date of remittance</t>
  </si>
  <si>
    <t>Amount of TDS</t>
  </si>
  <si>
    <t>Rate of TDS</t>
  </si>
  <si>
    <t>Actual amount of remittance after TDS.</t>
  </si>
  <si>
    <t>Date of deduction of tax at source</t>
  </si>
  <si>
    <t>Nature of remittance as per agreement/ document.</t>
  </si>
  <si>
    <t>NA</t>
  </si>
  <si>
    <t>Currency:</t>
  </si>
  <si>
    <t>Country:</t>
  </si>
  <si>
    <t>We have examined the agreement (wherever applicable) between</t>
  </si>
  <si>
    <t xml:space="preserve">and </t>
  </si>
  <si>
    <t>Vendor Name</t>
  </si>
  <si>
    <t>Address:</t>
  </si>
  <si>
    <t>Amount</t>
  </si>
  <si>
    <t>Gross Amount</t>
  </si>
  <si>
    <t>TDS</t>
  </si>
  <si>
    <t>Net Amount</t>
  </si>
  <si>
    <t>Rate</t>
  </si>
  <si>
    <t>Tax Rate</t>
  </si>
  <si>
    <t>Ex. Rate</t>
  </si>
  <si>
    <t>INR Amount</t>
  </si>
  <si>
    <t xml:space="preserve">(approx) @ </t>
  </si>
  <si>
    <t>Proposed Date</t>
  </si>
  <si>
    <t>In Indian Rs.</t>
  </si>
  <si>
    <t>Curreny</t>
  </si>
  <si>
    <t>As per Income Tax Act -</t>
  </si>
  <si>
    <t>DTAA Rate</t>
  </si>
  <si>
    <t>Gross Up</t>
  </si>
  <si>
    <t>*</t>
  </si>
  <si>
    <t>/</t>
  </si>
  <si>
    <t>Yes</t>
  </si>
  <si>
    <t>=</t>
  </si>
  <si>
    <t>No</t>
  </si>
  <si>
    <t>Not Applicable</t>
  </si>
  <si>
    <t xml:space="preserve">**Certificate No. : </t>
  </si>
  <si>
    <t>**Certificate number is an internal reference number to be given by the Accountant</t>
  </si>
  <si>
    <t xml:space="preserve">Date: </t>
  </si>
  <si>
    <t>Sr. No.</t>
  </si>
  <si>
    <t>Vendor Description</t>
  </si>
  <si>
    <t>Vendor Code</t>
  </si>
  <si>
    <t>Country Name</t>
  </si>
  <si>
    <t>Certificate No.</t>
  </si>
  <si>
    <t>Currency</t>
  </si>
  <si>
    <t>TDS Amt.</t>
  </si>
  <si>
    <t>Nature</t>
  </si>
  <si>
    <t>TDS Beared</t>
  </si>
  <si>
    <t>Address</t>
  </si>
  <si>
    <t>Nil</t>
  </si>
  <si>
    <t xml:space="preserve">USD </t>
  </si>
  <si>
    <t>(</t>
  </si>
  <si>
    <t>)</t>
  </si>
  <si>
    <t>As per DTAA</t>
  </si>
  <si>
    <t>Company</t>
  </si>
  <si>
    <r>
      <t>(</t>
    </r>
    <r>
      <rPr>
        <i/>
        <sz val="12"/>
        <color indexed="8"/>
        <rFont val="Book Antiqua"/>
        <family val="1"/>
      </rPr>
      <t>See </t>
    </r>
    <r>
      <rPr>
        <sz val="12"/>
        <color indexed="8"/>
        <rFont val="Book Antiqua"/>
        <family val="1"/>
      </rPr>
      <t>rule 37BB)</t>
    </r>
  </si>
  <si>
    <t>Consultancy fees</t>
  </si>
  <si>
    <t>"0410002"</t>
  </si>
  <si>
    <t xml:space="preserve">% </t>
  </si>
  <si>
    <t>SCB</t>
  </si>
  <si>
    <t>Axis/Yes</t>
  </si>
  <si>
    <t xml:space="preserve">Name of the bank and Branch </t>
  </si>
  <si>
    <t>Taiwan</t>
  </si>
  <si>
    <t xml:space="preserve"> (Beneficiary)</t>
  </si>
  <si>
    <t>requiring the above remittance as well as the relevant documents and books of account required for ascertaining the nature of remittance and for determining the rate of deduction of tax at source as per provisions of Charter- XVII-B. We hereby certify the following:-</t>
  </si>
  <si>
    <t>Amount payable</t>
  </si>
  <si>
    <t>In case the remittance is net of taxes, whether tax payable has been grossed up?</t>
  </si>
  <si>
    <t xml:space="preserve">Date of deduction of tax at source, if any </t>
  </si>
  <si>
    <t>(d) if not , the please furnish brief reasons thereof, specifying article of DTAA</t>
  </si>
  <si>
    <t>(c) If yes, rate of TDS required to be deducted in terms of such article of  applicable DTAA</t>
  </si>
  <si>
    <t>(b) Whether taxable in India as per DTAA</t>
  </si>
  <si>
    <t>(a) Please specify nature of remittance</t>
  </si>
  <si>
    <t>D. In case of other remittance not covered by sub- items A, B &amp; C</t>
  </si>
  <si>
    <t>(c) basis of arriving at taxable income</t>
  </si>
  <si>
    <t>(b) amount of short-term capital gains</t>
  </si>
  <si>
    <t>(a) amount of long term capital gains</t>
  </si>
  <si>
    <t xml:space="preserve">C. In case the remittance is on account of capital gains, please indicate:- </t>
  </si>
  <si>
    <t xml:space="preserve">B. In case the remittance is on account of business income, please indicate:- </t>
  </si>
  <si>
    <t>As per DTAA (%)</t>
  </si>
  <si>
    <t>(b) Rate of TDS required to be deducted in terms of such article of the applicable DTAA</t>
  </si>
  <si>
    <t>(a) Article of DTAA</t>
  </si>
  <si>
    <t>A.If the remittance is for royalties, fee for technical services, interest, dividend etc. (not connected with permanent establishment) please indicate :-</t>
  </si>
  <si>
    <t>(iv) tax liability as per DTAA</t>
  </si>
  <si>
    <t>(iii) taxable income as per DTAA</t>
  </si>
  <si>
    <t>(ii) please specify relevant article of DTAA</t>
  </si>
  <si>
    <t>(ii) please specify relevant DTAA</t>
  </si>
  <si>
    <t>(d) basis of determining taxable income and tax liability</t>
  </si>
  <si>
    <t>(c) the tax liability</t>
  </si>
  <si>
    <t>(b) the amount of income chargeable to tax</t>
  </si>
  <si>
    <t xml:space="preserve">(a) the relevant section of the act under which the remittance is covered </t>
  </si>
  <si>
    <t>Taxability under the provision of Income Tax Act (without considering DTAA)</t>
  </si>
  <si>
    <t>(i) whether tax residency  certificate is obtained from the recipient of remittance</t>
  </si>
  <si>
    <t>To be signed and verified by an accountant (other than an employee) as defined in the Explanation below sub-section (2) of section 288
of the Income-tax Act,1961.</t>
  </si>
  <si>
    <t xml:space="preserve">Rs. </t>
  </si>
  <si>
    <t>%</t>
  </si>
  <si>
    <t>Invoice Amount</t>
  </si>
  <si>
    <t xml:space="preserve">If any relief is claimed under DTAA- </t>
  </si>
  <si>
    <t>(a) The amount of income is liable to tax in India</t>
  </si>
  <si>
    <t>(b) The basis of arriving at the rate of deduction of tax</t>
  </si>
  <si>
    <t>SPECIFIED LIST</t>
  </si>
  <si>
    <t>Sl. No.</t>
  </si>
  <si>
    <t>Purpose code as per RBI</t>
  </si>
  <si>
    <t>Nature of payment</t>
  </si>
  <si>
    <t>S0001</t>
  </si>
  <si>
    <t>Indian investment abroad -in equity capital (shares)</t>
  </si>
  <si>
    <t>S0002</t>
  </si>
  <si>
    <t>Indian investment abroad -in debt securities</t>
  </si>
  <si>
    <t>S0003</t>
  </si>
  <si>
    <t>Indian investment abroad -in branches and wholly owned subsidiaries</t>
  </si>
  <si>
    <t>S0004</t>
  </si>
  <si>
    <t>Indian investment abroad -in subsidiaries and associates</t>
  </si>
  <si>
    <t>S0005</t>
  </si>
  <si>
    <t>Indian investment abroad -in real estate</t>
  </si>
  <si>
    <t>S0011</t>
  </si>
  <si>
    <t>Loans extended to Non-Residents</t>
  </si>
  <si>
    <t>S0202</t>
  </si>
  <si>
    <t>Payment for operating expenses of Indian shipping companies operating abroad.</t>
  </si>
  <si>
    <t>S0208</t>
  </si>
  <si>
    <t>Operating expenses of Indian Airlines companies operating abroad</t>
  </si>
  <si>
    <t>S0212</t>
  </si>
  <si>
    <t>Booking of passages abroad – Airlines companies</t>
  </si>
  <si>
    <t>S0301</t>
  </si>
  <si>
    <t>Remittance towards business travel.</t>
  </si>
  <si>
    <t>S0302</t>
  </si>
  <si>
    <t>Travel under basic travel quota (BTQ)</t>
  </si>
  <si>
    <t>S0303</t>
  </si>
  <si>
    <t>Travel for pilgrimage</t>
  </si>
  <si>
    <t>S0304</t>
  </si>
  <si>
    <t>Travel for medical treatment</t>
  </si>
  <si>
    <t>S0305</t>
  </si>
  <si>
    <t>Travel for education (including fees, hostel expenses etc.)</t>
  </si>
  <si>
    <t>S0401</t>
  </si>
  <si>
    <t>Postal services</t>
  </si>
  <si>
    <t>S0501</t>
  </si>
  <si>
    <t>Construction of projects abroad by Indian companies including import of goods at project site</t>
  </si>
  <si>
    <t>S0602</t>
  </si>
  <si>
    <t>Freight insurance – relating to import and export of goods</t>
  </si>
  <si>
    <t>S1011</t>
  </si>
  <si>
    <t>Payments for maintenance of offices abroad</t>
  </si>
  <si>
    <t>S1201</t>
  </si>
  <si>
    <t>Maintenance of Indian embassies abroad</t>
  </si>
  <si>
    <t>S1202</t>
  </si>
  <si>
    <t>Remittances by foreign embassies in India</t>
  </si>
  <si>
    <t>S1301</t>
  </si>
  <si>
    <t>Remittance by non-residents towards family maintenance and savings</t>
  </si>
  <si>
    <t>S1302</t>
  </si>
  <si>
    <t>Remittance towards personal gifts and donations</t>
  </si>
  <si>
    <t>S1303</t>
  </si>
  <si>
    <t>Remittance towards donations to religious and charitable institutions abroad</t>
  </si>
  <si>
    <t>S1304</t>
  </si>
  <si>
    <t>Remittance towards grants and donations to other governments and charitable institutions established by the governments.</t>
  </si>
  <si>
    <t>S1305</t>
  </si>
  <si>
    <t>Contributions or donations by the Government to international institutions</t>
  </si>
  <si>
    <t>S1306</t>
  </si>
  <si>
    <t>Remittance towards payment or refund of taxes.</t>
  </si>
  <si>
    <t>S1501</t>
  </si>
  <si>
    <t>Refunds or rebates or reduction in invoice value on account of exports</t>
  </si>
  <si>
    <t>S1503</t>
  </si>
  <si>
    <t>Payments by residents for international bidding”.</t>
  </si>
  <si>
    <t>TDS Rate</t>
  </si>
  <si>
    <t>In Indian</t>
  </si>
  <si>
    <t>CA</t>
  </si>
  <si>
    <t>HG</t>
  </si>
  <si>
    <t>GL Description</t>
  </si>
  <si>
    <t xml:space="preserve"> </t>
  </si>
  <si>
    <t xml:space="preserve"> (Since TRC not provided tax @ 25.75%)</t>
  </si>
  <si>
    <t>INR Value</t>
  </si>
  <si>
    <t>Article 13 -  Royalties And Fees For Technical Services And Payments For The Use Of Equipment</t>
  </si>
  <si>
    <t>TRC</t>
  </si>
  <si>
    <t>PE</t>
  </si>
  <si>
    <t>Article 12 - Royalties and Fees for Technical Services of India-Taipei DTAA</t>
  </si>
  <si>
    <t>AAACQ3912G</t>
  </si>
  <si>
    <t>PAN</t>
  </si>
  <si>
    <t>QUALTECH</t>
  </si>
  <si>
    <t>K &amp; C Medical Co. Ltd.</t>
  </si>
  <si>
    <t>4F, No 53, Lane 147, Anxiang Road, Xindia District, New Taipei City, R.O.C. 10041</t>
  </si>
  <si>
    <t>According to the information and explanation given to us and on the basis of documents produced before us, since the payment is made as Consultancy fees, the said services falls under Section 9(1)(vii) of Income Tax Act, 1961.</t>
  </si>
  <si>
    <t>India Taipei DTAA</t>
  </si>
  <si>
    <t>M/s Meril Life Sciences Pvt. Ltd. (Remitter)</t>
  </si>
  <si>
    <r>
      <rPr>
        <b/>
        <sz val="9.5"/>
        <rFont val="Times New Roman"/>
        <family val="1"/>
      </rPr>
      <t xml:space="preserve">FORM NO. 15CA
</t>
    </r>
    <r>
      <rPr>
        <sz val="9.5"/>
        <rFont val="Times New Roman"/>
        <family val="1"/>
      </rPr>
      <t xml:space="preserve">[See rule 37BB]
</t>
    </r>
    <r>
      <rPr>
        <b/>
        <sz val="9.5"/>
        <rFont val="Times New Roman"/>
        <family val="1"/>
      </rPr>
      <t>Information to be furnished for payments, to a non- resident not being a company, or to a foreign company</t>
    </r>
  </si>
  <si>
    <r>
      <rPr>
        <b/>
        <sz val="9.5"/>
        <rFont val="Times New Roman"/>
        <family val="1"/>
      </rPr>
      <t xml:space="preserve">PART A - To be filled up if the remittance is chargeable to tax under the provisions of the Income-tax Act,1961 and
</t>
    </r>
    <r>
      <rPr>
        <b/>
        <sz val="9.5"/>
        <rFont val="Times New Roman"/>
        <family val="1"/>
      </rPr>
      <t>the remittance or the aggregate of such remittances, as the case may be, does not exceed five lakh rupees during the financial year.</t>
    </r>
  </si>
  <si>
    <t>PART B - To be filled up if the remittance is chargeable to tax under the provisions of the Income-tax Act,1961 and
the remittance or the aggregate of such remittances, as the case may be, exceeds five lakh rupees during the financial year and an order/ certificate u/s 195(2)/ 195(3)/ 197 of Income-tax Act has been obtained from the Assessing Officer.</t>
  </si>
  <si>
    <r>
      <rPr>
        <b/>
        <sz val="9.5"/>
        <rFont val="Times New Roman"/>
        <family val="1"/>
      </rPr>
      <t xml:space="preserve">PART C - To be filled up if the remittance is chargeable to tax under the provisions of Income-tax Act, 1961 and the
</t>
    </r>
    <r>
      <rPr>
        <b/>
        <sz val="9.5"/>
        <rFont val="Times New Roman"/>
        <family val="1"/>
      </rPr>
      <t>remittance or the aggregate of such remittances, as the case may be, exceeds five lakh rupees during the financial year and a certificate in Form No. 15CB from an accountant as defined in the Explanation below sub-section (2) of section 288 has been obtained.</t>
    </r>
  </si>
  <si>
    <r>
      <rPr>
        <b/>
        <sz val="9.5"/>
        <rFont val="Times New Roman"/>
        <family val="1"/>
      </rPr>
      <t xml:space="preserve">PART D - To be filled up if the remittance is not chargeable to tax under the provisions of the Income-tax Act,1961
</t>
    </r>
    <r>
      <rPr>
        <b/>
        <sz val="9.5"/>
        <rFont val="Times New Roman"/>
        <family val="1"/>
      </rPr>
      <t>{other than payments referred to in rule 37BB(3)} by the person referred to in rule 37BB(2).</t>
    </r>
  </si>
  <si>
    <r>
      <rPr>
        <sz val="9.5"/>
        <rFont val="Times New Roman"/>
        <family val="1"/>
      </rPr>
      <t xml:space="preserve">Please select the relevant part from the drop down. </t>
    </r>
    <r>
      <rPr>
        <b/>
        <u/>
        <sz val="9"/>
        <rFont val="Times New Roman"/>
        <family val="1"/>
      </rPr>
      <t>PART - D</t>
    </r>
  </si>
  <si>
    <r>
      <rPr>
        <b/>
        <sz val="9.5"/>
        <rFont val="Times New Roman"/>
        <family val="1"/>
      </rPr>
      <t xml:space="preserve">PART - D
</t>
    </r>
    <r>
      <rPr>
        <b/>
        <sz val="9.5"/>
        <rFont val="Times New Roman"/>
        <family val="1"/>
      </rPr>
      <t>To be filled up if the remittance is not chargeable to tax under the provisions of the Income-tax Act,1961 {other than payments referred to in rule 37BB(3)} by the person referred to in rule 37BB(2).</t>
    </r>
  </si>
  <si>
    <r>
      <rPr>
        <b/>
        <sz val="9"/>
        <rFont val="Times New Roman"/>
        <family val="1"/>
      </rPr>
      <t>REMITTER</t>
    </r>
  </si>
  <si>
    <r>
      <rPr>
        <sz val="9.5"/>
        <rFont val="Times New Roman"/>
        <family val="1"/>
      </rPr>
      <t>Name of Remitter</t>
    </r>
  </si>
  <si>
    <r>
      <rPr>
        <sz val="9.5"/>
        <rFont val="Times New Roman"/>
        <family val="1"/>
      </rPr>
      <t>PAN of the Remitter (if available)</t>
    </r>
  </si>
  <si>
    <r>
      <rPr>
        <sz val="9.5"/>
        <rFont val="Times New Roman"/>
        <family val="1"/>
      </rPr>
      <t>TAN of the Remitter (if available)</t>
    </r>
  </si>
  <si>
    <r>
      <rPr>
        <b/>
        <sz val="9"/>
        <rFont val="Times New Roman"/>
        <family val="1"/>
      </rPr>
      <t>ADDRESS OF THE REMITTER</t>
    </r>
  </si>
  <si>
    <r>
      <rPr>
        <sz val="9.5"/>
        <rFont val="Times New Roman"/>
        <family val="1"/>
      </rPr>
      <t>Flat/ Door/ Block No</t>
    </r>
  </si>
  <si>
    <r>
      <rPr>
        <sz val="9.5"/>
        <rFont val="Times New Roman"/>
        <family val="1"/>
      </rPr>
      <t>Name of premises/ Building/ Village</t>
    </r>
  </si>
  <si>
    <r>
      <rPr>
        <sz val="9.5"/>
        <rFont val="Times New Roman"/>
        <family val="1"/>
      </rPr>
      <t>Road/ Street</t>
    </r>
  </si>
  <si>
    <r>
      <rPr>
        <sz val="9.5"/>
        <rFont val="Times New Roman"/>
        <family val="1"/>
      </rPr>
      <t>Area/ Locality</t>
    </r>
  </si>
  <si>
    <r>
      <rPr>
        <sz val="9.5"/>
        <rFont val="Times New Roman"/>
        <family val="1"/>
      </rPr>
      <t>Town/ City / District</t>
    </r>
  </si>
  <si>
    <r>
      <rPr>
        <sz val="9.5"/>
        <rFont val="Times New Roman"/>
        <family val="1"/>
      </rPr>
      <t>State</t>
    </r>
  </si>
  <si>
    <r>
      <rPr>
        <sz val="9.5"/>
        <rFont val="Times New Roman"/>
        <family val="1"/>
      </rPr>
      <t>Country</t>
    </r>
  </si>
  <si>
    <r>
      <rPr>
        <sz val="9.5"/>
        <rFont val="Times New Roman"/>
        <family val="1"/>
      </rPr>
      <t>Pin Code</t>
    </r>
  </si>
  <si>
    <r>
      <rPr>
        <sz val="9.5"/>
        <rFont val="Times New Roman"/>
        <family val="1"/>
      </rPr>
      <t>Email ID</t>
    </r>
  </si>
  <si>
    <r>
      <rPr>
        <sz val="9.5"/>
        <rFont val="Times New Roman"/>
        <family val="1"/>
      </rPr>
      <t>Phone Number</t>
    </r>
  </si>
  <si>
    <r>
      <rPr>
        <sz val="9.5"/>
        <rFont val="Times New Roman"/>
        <family val="1"/>
      </rPr>
      <t>Status of the Remitter</t>
    </r>
  </si>
  <si>
    <r>
      <rPr>
        <sz val="9.5"/>
        <rFont val="Times New Roman"/>
        <family val="1"/>
      </rPr>
      <t>Residential status of remitter</t>
    </r>
  </si>
  <si>
    <r>
      <rPr>
        <b/>
        <sz val="9"/>
        <rFont val="Times New Roman"/>
        <family val="1"/>
      </rPr>
      <t>REMITTEE</t>
    </r>
  </si>
  <si>
    <r>
      <rPr>
        <sz val="9.5"/>
        <rFont val="Times New Roman"/>
        <family val="1"/>
      </rPr>
      <t>Name of recipient of remittance</t>
    </r>
  </si>
  <si>
    <r>
      <rPr>
        <sz val="9.5"/>
        <rFont val="Times New Roman"/>
        <family val="1"/>
      </rPr>
      <t>PAN of the recipient of remittance, if available</t>
    </r>
  </si>
  <si>
    <r>
      <rPr>
        <b/>
        <sz val="9"/>
        <rFont val="Times New Roman"/>
        <family val="1"/>
      </rPr>
      <t>ADDRESS</t>
    </r>
  </si>
  <si>
    <r>
      <rPr>
        <sz val="9.5"/>
        <rFont val="Times New Roman"/>
        <family val="1"/>
      </rPr>
      <t>ZIP Code</t>
    </r>
  </si>
  <si>
    <r>
      <rPr>
        <b/>
        <sz val="9"/>
        <rFont val="Times New Roman"/>
        <family val="1"/>
      </rPr>
      <t>Country to which remittance is made</t>
    </r>
  </si>
  <si>
    <r>
      <rPr>
        <sz val="9.5"/>
        <rFont val="Times New Roman"/>
        <family val="1"/>
      </rPr>
      <t>Name of Country if selected as Others</t>
    </r>
  </si>
  <si>
    <r>
      <rPr>
        <sz val="9.5"/>
        <rFont val="Times New Roman"/>
        <family val="1"/>
      </rPr>
      <t>Currency</t>
    </r>
  </si>
  <si>
    <r>
      <rPr>
        <sz val="9.5"/>
        <rFont val="Times New Roman"/>
        <family val="1"/>
      </rPr>
      <t>Currency if selected as Others</t>
    </r>
  </si>
  <si>
    <r>
      <rPr>
        <sz val="9.5"/>
        <rFont val="Times New Roman"/>
        <family val="1"/>
      </rPr>
      <t>Country of which the recipient of remittance is resident, if available</t>
    </r>
  </si>
  <si>
    <r>
      <rPr>
        <b/>
        <sz val="9"/>
        <rFont val="Times New Roman"/>
        <family val="1"/>
      </rPr>
      <t>REMITTANCE</t>
    </r>
  </si>
  <si>
    <r>
      <rPr>
        <b/>
        <sz val="9"/>
        <rFont val="Times New Roman"/>
        <family val="1"/>
      </rPr>
      <t>Amount payable</t>
    </r>
  </si>
  <si>
    <r>
      <rPr>
        <sz val="9.5"/>
        <rFont val="Times New Roman"/>
        <family val="1"/>
      </rPr>
      <t>In foreign currency:</t>
    </r>
  </si>
  <si>
    <r>
      <rPr>
        <sz val="9.5"/>
        <rFont val="Times New Roman"/>
        <family val="1"/>
      </rPr>
      <t>In Indian Rs.</t>
    </r>
  </si>
  <si>
    <r>
      <rPr>
        <sz val="9.5"/>
        <rFont val="Times New Roman"/>
        <family val="1"/>
      </rPr>
      <t>Name of bank</t>
    </r>
  </si>
  <si>
    <r>
      <rPr>
        <sz val="9.5"/>
        <rFont val="Times New Roman"/>
        <family val="1"/>
      </rPr>
      <t>Name of Bank if selected as Other Bank</t>
    </r>
  </si>
  <si>
    <r>
      <rPr>
        <sz val="9.5"/>
        <rFont val="Times New Roman"/>
        <family val="1"/>
      </rPr>
      <t>Name of the branch of the bank</t>
    </r>
  </si>
  <si>
    <r>
      <rPr>
        <sz val="9.5"/>
        <rFont val="Times New Roman"/>
        <family val="1"/>
      </rPr>
      <t>BSR code of the bank branch (7 digit)</t>
    </r>
  </si>
  <si>
    <r>
      <rPr>
        <sz val="9.5"/>
        <rFont val="Times New Roman"/>
        <family val="1"/>
      </rPr>
      <t>Proposed date of remittance (DD/MM/YYYY)</t>
    </r>
  </si>
  <si>
    <r>
      <rPr>
        <sz val="9.5"/>
        <rFont val="Times New Roman"/>
        <family val="1"/>
      </rPr>
      <t>Nature of remittance as per agreement/ document</t>
    </r>
  </si>
  <si>
    <r>
      <rPr>
        <sz val="9.5"/>
        <rFont val="Times New Roman"/>
        <family val="1"/>
      </rPr>
      <t>Nature of remittance as per agreement/ document if Others</t>
    </r>
  </si>
  <si>
    <r>
      <rPr>
        <sz val="9.5"/>
        <rFont val="Times New Roman"/>
        <family val="1"/>
      </rPr>
      <t>Relevant purpose code as per RBI</t>
    </r>
  </si>
  <si>
    <r>
      <rPr>
        <b/>
        <sz val="9.5"/>
        <rFont val="Times New Roman"/>
        <family val="1"/>
      </rPr>
      <t>2. I certify that I have reason to believe that the remittance as above is not chargeable under the provision of Income-tax Act 1961 and is not liable for deduction of tax at source.</t>
    </r>
  </si>
  <si>
    <r>
      <rPr>
        <b/>
        <sz val="9.5"/>
        <rFont val="Times New Roman"/>
        <family val="1"/>
      </rPr>
      <t>PART-D VERIFICATION</t>
    </r>
  </si>
  <si>
    <r>
      <rPr>
        <sz val="9.5"/>
        <rFont val="Times New Roman"/>
        <family val="1"/>
      </rPr>
      <t xml:space="preserve">1. </t>
    </r>
    <r>
      <rPr>
        <b/>
        <sz val="9"/>
        <rFont val="Times New Roman"/>
        <family val="1"/>
      </rPr>
      <t>I</t>
    </r>
    <r>
      <rPr>
        <sz val="9.5"/>
        <rFont val="Times New Roman"/>
        <family val="1"/>
      </rPr>
      <t xml:space="preserve">, </t>
    </r>
    <r>
      <rPr>
        <b/>
        <u/>
        <sz val="9"/>
        <rFont val="Times New Roman"/>
        <family val="1"/>
      </rPr>
      <t>RAJNIKANT VYAS</t>
    </r>
    <r>
      <rPr>
        <sz val="9.5"/>
        <rFont val="Times New Roman"/>
        <family val="1"/>
      </rPr>
      <t xml:space="preserve">(full name in block letters) son/daughter of </t>
    </r>
    <r>
      <rPr>
        <b/>
        <u/>
        <sz val="9"/>
        <rFont val="Times New Roman"/>
        <family val="1"/>
      </rPr>
      <t>GANDALAL VYAS</t>
    </r>
    <r>
      <rPr>
        <b/>
        <sz val="9"/>
        <rFont val="Times New Roman"/>
        <family val="1"/>
      </rPr>
      <t xml:space="preserve"> </t>
    </r>
    <r>
      <rPr>
        <sz val="9.5"/>
        <rFont val="Times New Roman"/>
        <family val="1"/>
      </rPr>
      <t xml:space="preserve">in the capacity of </t>
    </r>
    <r>
      <rPr>
        <b/>
        <u/>
        <sz val="9"/>
        <rFont val="Times New Roman"/>
        <family val="1"/>
      </rPr>
      <t>DIRECT</t>
    </r>
    <r>
      <rPr>
        <b/>
        <sz val="9"/>
        <rFont val="Times New Roman"/>
        <family val="1"/>
      </rPr>
      <t xml:space="preserve"> </t>
    </r>
    <r>
      <rPr>
        <b/>
        <u/>
        <sz val="9"/>
        <rFont val="Times New Roman"/>
        <family val="1"/>
      </rPr>
      <t>OR</t>
    </r>
    <r>
      <rPr>
        <b/>
        <sz val="9"/>
        <rFont val="Times New Roman"/>
        <family val="1"/>
      </rPr>
      <t xml:space="preserve"> </t>
    </r>
    <r>
      <rPr>
        <sz val="9.5"/>
        <rFont val="Times New Roman"/>
        <family val="1"/>
      </rPr>
      <t>(designation) solemnly declare that the information given above is true to the best of my knowledge and belief and no relevant information has been concealed</t>
    </r>
  </si>
  <si>
    <r>
      <rPr>
        <sz val="9.5"/>
        <rFont val="Times New Roman"/>
        <family val="1"/>
      </rPr>
      <t xml:space="preserve">2. In case where it is found that the tax actually deductible on the amount of remittance has not been deducted or after deduction has not been paid or not paid in full </t>
    </r>
    <r>
      <rPr>
        <b/>
        <sz val="9"/>
        <rFont val="Times New Roman"/>
        <family val="1"/>
      </rPr>
      <t xml:space="preserve">I </t>
    </r>
    <r>
      <rPr>
        <sz val="9.5"/>
        <rFont val="Times New Roman"/>
        <family val="1"/>
      </rPr>
      <t xml:space="preserve">undertake to pay the amount of tax not deducted or not paid, as the case may be along with interest due. </t>
    </r>
    <r>
      <rPr>
        <b/>
        <sz val="9"/>
        <rFont val="Times New Roman"/>
        <family val="1"/>
      </rPr>
      <t xml:space="preserve">I </t>
    </r>
    <r>
      <rPr>
        <sz val="9.5"/>
        <rFont val="Times New Roman"/>
        <family val="1"/>
      </rPr>
      <t>shall also be subject to the provisions of penalty for the said default as per the provisions of the Income-tax Act, 1961</t>
    </r>
  </si>
  <si>
    <r>
      <rPr>
        <sz val="9.5"/>
        <rFont val="Times New Roman"/>
        <family val="1"/>
      </rPr>
      <t xml:space="preserve">3. </t>
    </r>
    <r>
      <rPr>
        <b/>
        <sz val="9"/>
        <rFont val="Times New Roman"/>
        <family val="1"/>
      </rPr>
      <t xml:space="preserve">I </t>
    </r>
    <r>
      <rPr>
        <sz val="9.5"/>
        <rFont val="Times New Roman"/>
        <family val="1"/>
      </rPr>
      <t xml:space="preserve">further undertake to submit the requisite documents for enabling the Income-tax Authorities to determine the nature and amount of income of the recipient of the above remittance as well as documents required for determining </t>
    </r>
    <r>
      <rPr>
        <b/>
        <u/>
        <sz val="9"/>
        <rFont val="Times New Roman"/>
        <family val="1"/>
      </rPr>
      <t>my</t>
    </r>
    <r>
      <rPr>
        <b/>
        <sz val="9"/>
        <rFont val="Times New Roman"/>
        <family val="1"/>
      </rPr>
      <t xml:space="preserve"> </t>
    </r>
    <r>
      <rPr>
        <sz val="9.5"/>
        <rFont val="Times New Roman"/>
        <family val="1"/>
      </rPr>
      <t>liability under the Income-tax Act, 1961 as a person responsible for deduction of tax at source.</t>
    </r>
  </si>
  <si>
    <r>
      <rPr>
        <sz val="9.5"/>
        <rFont val="Times New Roman"/>
        <family val="1"/>
      </rPr>
      <t xml:space="preserve">Date (DD/MM/YYYY): </t>
    </r>
    <r>
      <rPr>
        <b/>
        <u/>
        <sz val="9"/>
        <rFont val="Times New Roman"/>
        <family val="1"/>
      </rPr>
      <t>19/07/2021</t>
    </r>
  </si>
  <si>
    <r>
      <rPr>
        <sz val="9.5"/>
        <rFont val="Times New Roman"/>
        <family val="1"/>
      </rPr>
      <t xml:space="preserve">Name of the person responsible for paying to non-resident </t>
    </r>
    <r>
      <rPr>
        <b/>
        <u/>
        <sz val="9"/>
        <rFont val="Times New Roman"/>
        <family val="1"/>
      </rPr>
      <t>RAJNIKANT VYAS</t>
    </r>
  </si>
  <si>
    <r>
      <rPr>
        <sz val="9.5"/>
        <rFont val="Times New Roman"/>
        <family val="1"/>
      </rPr>
      <t xml:space="preserve">Place </t>
    </r>
    <r>
      <rPr>
        <b/>
        <u/>
        <sz val="9"/>
        <rFont val="Times New Roman"/>
        <family val="1"/>
      </rPr>
      <t>VAPI</t>
    </r>
  </si>
  <si>
    <r>
      <rPr>
        <sz val="9.5"/>
        <rFont val="Times New Roman"/>
        <family val="1"/>
      </rPr>
      <t xml:space="preserve">Designation </t>
    </r>
    <r>
      <rPr>
        <b/>
        <u/>
        <sz val="9"/>
        <rFont val="Times New Roman"/>
        <family val="1"/>
      </rPr>
      <t>DIRECTOR</t>
    </r>
  </si>
  <si>
    <r>
      <rPr>
        <sz val="9.5"/>
        <rFont val="Times New Roman"/>
        <family val="1"/>
      </rPr>
      <t xml:space="preserve">This form has been digitally signed by </t>
    </r>
    <r>
      <rPr>
        <b/>
        <u/>
        <sz val="9"/>
        <rFont val="Times New Roman"/>
        <family val="1"/>
      </rPr>
      <t>RAJNIKANT GANDALAL VYAS</t>
    </r>
    <r>
      <rPr>
        <b/>
        <sz val="9"/>
        <rFont val="Times New Roman"/>
        <family val="1"/>
      </rPr>
      <t xml:space="preserve"> </t>
    </r>
    <r>
      <rPr>
        <sz val="9.5"/>
        <rFont val="Times New Roman"/>
        <family val="1"/>
      </rPr>
      <t xml:space="preserve">having PAN </t>
    </r>
    <r>
      <rPr>
        <b/>
        <u/>
        <sz val="9"/>
        <rFont val="Times New Roman"/>
        <family val="1"/>
      </rPr>
      <t>AACPV0781F</t>
    </r>
    <r>
      <rPr>
        <b/>
        <sz val="9"/>
        <rFont val="Times New Roman"/>
        <family val="1"/>
      </rPr>
      <t xml:space="preserve"> </t>
    </r>
    <r>
      <rPr>
        <sz val="9.5"/>
        <rFont val="Times New Roman"/>
        <family val="1"/>
      </rPr>
      <t xml:space="preserve">from IP
</t>
    </r>
    <r>
      <rPr>
        <sz val="9.5"/>
        <rFont val="Times New Roman"/>
        <family val="1"/>
      </rPr>
      <t xml:space="preserve">Address </t>
    </r>
    <r>
      <rPr>
        <b/>
        <u/>
        <sz val="9"/>
        <rFont val="Times New Roman"/>
        <family val="1"/>
      </rPr>
      <t>118.185.201.75</t>
    </r>
    <r>
      <rPr>
        <b/>
        <sz val="9"/>
        <rFont val="Times New Roman"/>
        <family val="1"/>
      </rPr>
      <t xml:space="preserve"> </t>
    </r>
    <r>
      <rPr>
        <sz val="9.5"/>
        <rFont val="Times New Roman"/>
        <family val="1"/>
      </rPr>
      <t xml:space="preserve">on </t>
    </r>
    <r>
      <rPr>
        <b/>
        <u/>
        <sz val="9"/>
        <rFont val="Times New Roman"/>
        <family val="1"/>
      </rPr>
      <t>2020-05-26 16:28:06.0</t>
    </r>
    <r>
      <rPr>
        <b/>
        <sz val="9"/>
        <rFont val="Times New Roman"/>
        <family val="1"/>
      </rPr>
      <t xml:space="preserve"> </t>
    </r>
    <r>
      <rPr>
        <sz val="9.5"/>
        <rFont val="Times New Roman"/>
        <family val="1"/>
      </rPr>
      <t xml:space="preserve">.
</t>
    </r>
    <r>
      <rPr>
        <sz val="9.5"/>
        <rFont val="Times New Roman"/>
        <family val="1"/>
      </rPr>
      <t xml:space="preserve">Dsc Sl No and issuer </t>
    </r>
    <r>
      <rPr>
        <b/>
        <u/>
        <sz val="9"/>
        <rFont val="Times New Roman"/>
        <family val="1"/>
      </rPr>
      <t>2473381488649837714CN=SafeScrypt sub-CA for RCAI Class 2 2014,OU=Sub-CA,O=Sify</t>
    </r>
    <r>
      <rPr>
        <b/>
        <sz val="9"/>
        <rFont val="Times New Roman"/>
        <family val="1"/>
      </rPr>
      <t xml:space="preserve"> </t>
    </r>
    <r>
      <rPr>
        <b/>
        <u/>
        <sz val="9"/>
        <rFont val="Times New Roman"/>
        <family val="1"/>
      </rPr>
      <t>Technologies Limited,C=IN</t>
    </r>
  </si>
  <si>
    <t>% (Since TRC provided tax @ 10%)</t>
  </si>
  <si>
    <t>Document No.</t>
  </si>
  <si>
    <t>Invoice NO.</t>
  </si>
  <si>
    <t>Tax Documents</t>
  </si>
  <si>
    <t>10F</t>
  </si>
  <si>
    <t>Consultancy fees falls under the definition of fees for technical services provided under explanation 2 to section 9(1)(vii). Tax @ 20.80% specified under section 115A(1)(b) of Income Tax Act, 1961.</t>
  </si>
  <si>
    <t>Kotak Mahindra Bank Plot No. 586, Mahalaxmi Society, Vapi Daman Road, Chala, Vapi</t>
  </si>
  <si>
    <t>S 1006</t>
  </si>
  <si>
    <t>Purpose Code</t>
  </si>
  <si>
    <t>VAT</t>
  </si>
  <si>
    <t>Article of IT</t>
  </si>
  <si>
    <t>Email ID</t>
  </si>
  <si>
    <t>Contact No.</t>
  </si>
  <si>
    <t>Tax ID No.</t>
  </si>
  <si>
    <t>Email</t>
  </si>
  <si>
    <t>Tax ID</t>
  </si>
  <si>
    <t>Invoice No.</t>
  </si>
  <si>
    <t>Document Date</t>
  </si>
  <si>
    <t>0040 - MLSPL</t>
  </si>
  <si>
    <t>ML103/Mar/2025</t>
  </si>
  <si>
    <t>ML102/Mar/2025</t>
  </si>
  <si>
    <t>ML100/Mar/2025</t>
  </si>
  <si>
    <t>19/35555</t>
  </si>
  <si>
    <t>19/35556</t>
  </si>
  <si>
    <t>19/35557</t>
  </si>
  <si>
    <t>19/35555/56/57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</si>
</sst>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 * #,##0.00_ ;_ * \-#,##0.00_ ;_ * &quot;-&quot;??_ ;_ @_ "/>
    <numFmt numFmtId="165" formatCode="_(* #,##0_);_(* \(#,##0\);_(* &quot;-&quot;_);_(@_)"/>
    <numFmt numFmtId="166" formatCode="_(&quot;$&quot;* #,##0.00_);_(&quot;$&quot;* \(#,##0.00\);_(&quot;$&quot;* &quot;-&quot;??_);_(@_)"/>
    <numFmt numFmtId="167" formatCode="_(* #,##0.00_);_(* \(#,##0.00\);_(* &quot;-&quot;??_);_(@_)"/>
    <numFmt numFmtId="168" formatCode="0.0000"/>
    <numFmt numFmtId="169" formatCode="[$-14009]dd/mm/yyyy;@"/>
    <numFmt numFmtId="170" formatCode="[$-F800]dddd\,\ mmmm\ dd\,\ yyyy"/>
    <numFmt numFmtId="171" formatCode="[$-14409]d\ mmmm\,\ yyyy;@"/>
    <numFmt numFmtId="172" formatCode="_ * #,##0_ ;_ * \-#,##0_ ;_ * &quot;-&quot;??_ ;_ @_ "/>
    <numFmt numFmtId="173" formatCode="[$-409]dd/mmm/yy;@"/>
    <numFmt numFmtId="174" formatCode="[$-409]mmm/yy;@"/>
    <numFmt numFmtId="175" formatCode="#,##0.0"/>
    <numFmt numFmtId="176" formatCode="0.0000%"/>
    <numFmt numFmtId="177" formatCode="_ * #,##0.000_ ;_ * \-#,##0.000_ ;_ * &quot;-&quot;??_ ;_ @_ "/>
    <numFmt numFmtId="178" formatCode="0.0%"/>
    <numFmt numFmtId="179" formatCode="dd/mm/yyyy;@"/>
    <numFmt numFmtId="180" formatCode="_ * #,##0.0000_ ;_ * \-#,##0.0000_ ;_ * &quot;-&quot;??_ ;_ @_ "/>
  </numFmts>
  <fonts count="12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color rgb="FF000000"/>
      <name val="Book Antiqua"/>
      <family val="1"/>
    </font>
    <font>
      <sz val="12"/>
      <name val="Book Antiqua"/>
      <family val="1"/>
    </font>
    <font>
      <sz val="12"/>
      <color rgb="FF000000"/>
      <name val="Book Antiqua"/>
      <family val="1"/>
    </font>
    <font>
      <i/>
      <sz val="12"/>
      <color indexed="8"/>
      <name val="Book Antiqua"/>
      <family val="1"/>
    </font>
    <font>
      <sz val="12"/>
      <color indexed="8"/>
      <name val="Book Antiqua"/>
      <family val="1"/>
    </font>
    <font>
      <b/>
      <sz val="12"/>
      <name val="Book Antiqua"/>
      <family val="1"/>
    </font>
    <font>
      <sz val="10"/>
      <name val="Calibri"/>
      <family val="2"/>
      <scheme val="minor"/>
    </font>
    <font>
      <sz val="10"/>
      <name val="Arial"/>
      <family val="2"/>
    </font>
    <font>
      <sz val="12"/>
      <color theme="1"/>
      <name val="Book Antiqua"/>
      <family val="1"/>
    </font>
    <font>
      <sz val="9"/>
      <color indexed="81"/>
      <name val="Tahoma"/>
      <family val="2"/>
    </font>
    <font>
      <b/>
      <sz val="9"/>
      <color indexed="81"/>
      <name val="Tahoma"/>
      <family val="2"/>
    </font>
    <font>
      <sz val="12"/>
      <name val="Times New Roman"/>
      <family val="1"/>
    </font>
    <font>
      <b/>
      <sz val="12"/>
      <name val="Times New Roman"/>
      <family val="1"/>
    </font>
    <font>
      <sz val="11"/>
      <color indexed="8"/>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Arial"/>
      <family val="2"/>
    </font>
    <font>
      <sz val="10"/>
      <name val="Times New Roman"/>
      <family val="1"/>
    </font>
    <font>
      <sz val="10"/>
      <color indexed="8"/>
      <name val="Calibri"/>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b/>
      <sz val="11"/>
      <color indexed="63"/>
      <name val="Calibri"/>
      <family val="2"/>
    </font>
    <font>
      <b/>
      <sz val="11"/>
      <color indexed="8"/>
      <name val="Calibri"/>
      <family val="2"/>
    </font>
    <font>
      <sz val="11"/>
      <color indexed="10"/>
      <name val="Calibri"/>
      <family val="2"/>
    </font>
    <font>
      <sz val="10"/>
      <color indexed="8"/>
      <name val="Book Antiqua"/>
      <family val="2"/>
    </font>
    <font>
      <sz val="10"/>
      <color indexed="17"/>
      <name val="Book Antiqua"/>
      <family val="2"/>
    </font>
    <font>
      <b/>
      <sz val="15"/>
      <color indexed="56"/>
      <name val="Book Antiqua"/>
      <family val="2"/>
    </font>
    <font>
      <b/>
      <sz val="13"/>
      <color indexed="56"/>
      <name val="Book Antiqua"/>
      <family val="2"/>
    </font>
    <font>
      <b/>
      <sz val="11"/>
      <color indexed="56"/>
      <name val="Book Antiqua"/>
      <family val="2"/>
    </font>
    <font>
      <sz val="10"/>
      <name val="Trebuchet MS"/>
      <family val="2"/>
    </font>
    <font>
      <i/>
      <sz val="9"/>
      <color indexed="8"/>
      <name val="Arial"/>
      <family val="2"/>
    </font>
    <font>
      <sz val="10"/>
      <name val="Helv"/>
      <family val="2"/>
    </font>
    <font>
      <b/>
      <sz val="11"/>
      <color indexed="10"/>
      <name val="Calibri"/>
      <family val="2"/>
    </font>
    <font>
      <b/>
      <sz val="11"/>
      <name val="Arial"/>
      <family val="2"/>
    </font>
    <font>
      <b/>
      <sz val="13"/>
      <name val="Arial"/>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8"/>
      <color indexed="62"/>
      <name val="Cambria"/>
      <family val="2"/>
    </font>
    <font>
      <sz val="10"/>
      <color indexed="8"/>
      <name val="Arial"/>
      <family val="2"/>
    </font>
    <font>
      <b/>
      <sz val="8"/>
      <name val="Arial"/>
      <family val="2"/>
    </font>
    <font>
      <sz val="10"/>
      <name val="Cambria"/>
      <family val="1"/>
    </font>
    <font>
      <sz val="10"/>
      <color theme="1"/>
      <name val="Calibri"/>
      <family val="2"/>
      <scheme val="minor"/>
    </font>
    <font>
      <sz val="10"/>
      <color theme="0"/>
      <name val="Calibri"/>
      <family val="2"/>
      <scheme val="minor"/>
    </font>
    <font>
      <sz val="10"/>
      <color rgb="FF9C0006"/>
      <name val="Calibri"/>
      <family val="2"/>
      <scheme val="minor"/>
    </font>
    <font>
      <b/>
      <sz val="10"/>
      <color rgb="FFFA7D00"/>
      <name val="Calibri"/>
      <family val="2"/>
      <scheme val="minor"/>
    </font>
    <font>
      <b/>
      <sz val="10"/>
      <color theme="0"/>
      <name val="Calibri"/>
      <family val="2"/>
      <scheme val="minor"/>
    </font>
    <font>
      <i/>
      <sz val="10"/>
      <color rgb="FF7F7F7F"/>
      <name val="Calibri"/>
      <family val="2"/>
      <scheme val="minor"/>
    </font>
    <font>
      <sz val="10"/>
      <color rgb="FF006100"/>
      <name val="Calibri"/>
      <family val="2"/>
      <scheme val="minor"/>
    </font>
    <font>
      <u/>
      <sz val="10"/>
      <color theme="10"/>
      <name val="Cambria"/>
      <family val="1"/>
    </font>
    <font>
      <sz val="10"/>
      <color rgb="FF3F3F76"/>
      <name val="Calibri"/>
      <family val="2"/>
      <scheme val="minor"/>
    </font>
    <font>
      <sz val="10"/>
      <color rgb="FFFA7D00"/>
      <name val="Calibri"/>
      <family val="2"/>
      <scheme val="minor"/>
    </font>
    <font>
      <sz val="10"/>
      <color rgb="FF9C6500"/>
      <name val="Calibri"/>
      <family val="2"/>
      <scheme val="minor"/>
    </font>
    <font>
      <b/>
      <sz val="10"/>
      <color rgb="FF3F3F3F"/>
      <name val="Calibri"/>
      <family val="2"/>
      <scheme val="minor"/>
    </font>
    <font>
      <b/>
      <sz val="10"/>
      <color theme="1"/>
      <name val="Calibri"/>
      <family val="2"/>
      <scheme val="minor"/>
    </font>
    <font>
      <sz val="10"/>
      <color rgb="FFFF0000"/>
      <name val="Calibri"/>
      <family val="2"/>
      <scheme val="minor"/>
    </font>
    <font>
      <sz val="10"/>
      <name val="Arial"/>
      <family val="2"/>
    </font>
    <font>
      <sz val="10"/>
      <name val="Cambria"/>
      <family val="1"/>
    </font>
    <font>
      <b/>
      <sz val="10"/>
      <name val="Calibri"/>
      <family val="2"/>
      <scheme val="minor"/>
    </font>
    <font>
      <sz val="11"/>
      <name val="Calibri"/>
      <family val="2"/>
      <scheme val="minor"/>
    </font>
    <font>
      <sz val="11.5"/>
      <name val="Book Antiqua"/>
      <family val="1"/>
    </font>
    <font>
      <sz val="11"/>
      <color rgb="FF000000"/>
      <name val="Book Antiqua"/>
      <family val="1"/>
    </font>
    <font>
      <sz val="10.5"/>
      <name val="Consolas"/>
      <family val="3"/>
    </font>
    <font>
      <sz val="10"/>
      <color rgb="FF000000"/>
      <name val="Times New Roman"/>
      <family val="1"/>
    </font>
    <font>
      <b/>
      <sz val="9.5"/>
      <name val="Times New Roman"/>
      <family val="1"/>
    </font>
    <font>
      <sz val="9.5"/>
      <name val="Times New Roman"/>
      <family val="1"/>
    </font>
    <font>
      <b/>
      <u/>
      <sz val="9"/>
      <name val="Times New Roman"/>
      <family val="1"/>
    </font>
    <font>
      <b/>
      <sz val="9"/>
      <name val="Times New Roman"/>
      <family val="1"/>
    </font>
    <font>
      <b/>
      <sz val="9"/>
      <color rgb="FF000000"/>
      <name val="Times New Roman"/>
      <family val="2"/>
    </font>
    <font>
      <b/>
      <u/>
      <sz val="12"/>
      <name val="Book Antiqua"/>
      <family val="1"/>
    </font>
    <font>
      <u/>
      <sz val="10"/>
      <color theme="10"/>
      <name val="Arial"/>
      <family val="2"/>
    </font>
    <font>
      <b/>
      <sz val="11"/>
      <name val="Calibri"/>
      <family val="2"/>
      <scheme val="minor"/>
    </font>
  </fonts>
  <fills count="52">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9"/>
      </patternFill>
    </fill>
    <fill>
      <patternFill patternType="solid">
        <fgColor indexed="55"/>
      </patternFill>
    </fill>
    <fill>
      <patternFill patternType="solid">
        <fgColor rgb="FF92D050"/>
        <bgColor indexed="64"/>
      </patternFill>
    </fill>
  </fills>
  <borders count="8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style="medium">
        <color indexed="64"/>
      </right>
      <top/>
      <bottom/>
      <diagonal/>
    </border>
    <border>
      <left style="thin">
        <color indexed="64"/>
      </left>
      <right/>
      <top style="thin">
        <color rgb="FF000000"/>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right style="thin">
        <color indexed="64"/>
      </right>
      <top style="thin">
        <color indexed="8"/>
      </top>
      <bottom style="thin">
        <color indexed="64"/>
      </bottom>
      <diagonal/>
    </border>
    <border>
      <left style="thin">
        <color indexed="8"/>
      </left>
      <right/>
      <top style="thin">
        <color indexed="8"/>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indexed="8"/>
      </right>
      <top style="thin">
        <color indexed="8"/>
      </top>
      <bottom style="thin">
        <color indexed="8"/>
      </bottom>
      <diagonal/>
    </border>
    <border>
      <left style="thin">
        <color indexed="8"/>
      </left>
      <right/>
      <top/>
      <bottom style="thin">
        <color indexed="64"/>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8"/>
      </left>
      <right/>
      <top/>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top style="thin">
        <color indexed="8"/>
      </top>
      <bottom/>
      <diagonal/>
    </border>
    <border>
      <left/>
      <right style="thin">
        <color indexed="64"/>
      </right>
      <top style="thin">
        <color indexed="8"/>
      </top>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10"/>
      </bottom>
      <diagonal/>
    </border>
    <border>
      <left style="double">
        <color indexed="55"/>
      </left>
      <right style="double">
        <color indexed="55"/>
      </right>
      <top style="double">
        <color indexed="55"/>
      </top>
      <bottom style="double">
        <color indexed="55"/>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s>
  <cellStyleXfs count="5393">
    <xf numFmtId="0" fontId="0" fillId="0" borderId="0"/>
    <xf numFmtId="167" fontId="33" fillId="0" borderId="0" applyFont="0" applyFill="0" applyBorder="0" applyAlignment="0" applyProtection="0"/>
    <xf numFmtId="164" fontId="34" fillId="0" borderId="0" applyFont="0" applyFill="0" applyBorder="0" applyAlignment="0" applyProtection="0"/>
    <xf numFmtId="0" fontId="33" fillId="0" borderId="0"/>
    <xf numFmtId="0" fontId="32" fillId="0" borderId="0"/>
    <xf numFmtId="9" fontId="42" fillId="0" borderId="0" applyFont="0" applyFill="0" applyBorder="0" applyAlignment="0" applyProtection="0"/>
    <xf numFmtId="0" fontId="31" fillId="0" borderId="0"/>
    <xf numFmtId="164" fontId="33" fillId="0" borderId="0" applyFont="0" applyFill="0" applyBorder="0" applyAlignment="0" applyProtection="0"/>
    <xf numFmtId="0" fontId="30" fillId="0" borderId="0"/>
    <xf numFmtId="9" fontId="33" fillId="0" borderId="0" applyFont="0" applyFill="0" applyBorder="0" applyAlignment="0" applyProtection="0"/>
    <xf numFmtId="0" fontId="30" fillId="0" borderId="0"/>
    <xf numFmtId="0" fontId="29" fillId="0" borderId="0"/>
    <xf numFmtId="0" fontId="29" fillId="0" borderId="0"/>
    <xf numFmtId="0" fontId="28" fillId="0" borderId="0"/>
    <xf numFmtId="0" fontId="28" fillId="0" borderId="0"/>
    <xf numFmtId="0" fontId="27" fillId="0" borderId="0"/>
    <xf numFmtId="0" fontId="27" fillId="0" borderId="0"/>
    <xf numFmtId="0" fontId="27" fillId="0" borderId="0"/>
    <xf numFmtId="0" fontId="27" fillId="0" borderId="0"/>
    <xf numFmtId="0" fontId="26" fillId="0" borderId="0"/>
    <xf numFmtId="0" fontId="26" fillId="0" borderId="0"/>
    <xf numFmtId="0" fontId="25" fillId="0" borderId="0"/>
    <xf numFmtId="0" fontId="25" fillId="0" borderId="0"/>
    <xf numFmtId="0" fontId="25" fillId="0" borderId="0"/>
    <xf numFmtId="0" fontId="25" fillId="0" borderId="0"/>
    <xf numFmtId="0" fontId="24" fillId="0" borderId="0"/>
    <xf numFmtId="0" fontId="24" fillId="0" borderId="0"/>
    <xf numFmtId="0" fontId="24" fillId="0" borderId="0"/>
    <xf numFmtId="0" fontId="24" fillId="0" borderId="0"/>
    <xf numFmtId="0" fontId="23" fillId="0" borderId="0"/>
    <xf numFmtId="0" fontId="23" fillId="0" borderId="0"/>
    <xf numFmtId="0" fontId="22" fillId="0" borderId="0"/>
    <xf numFmtId="0" fontId="22" fillId="0" borderId="0"/>
    <xf numFmtId="0" fontId="21" fillId="0" borderId="0"/>
    <xf numFmtId="0" fontId="21" fillId="0" borderId="0"/>
    <xf numFmtId="0" fontId="21"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8" fillId="0" borderId="0"/>
    <xf numFmtId="0" fontId="18" fillId="0" borderId="0"/>
    <xf numFmtId="0" fontId="18" fillId="0" borderId="0"/>
    <xf numFmtId="0" fontId="18" fillId="0" borderId="0"/>
    <xf numFmtId="0" fontId="17" fillId="0" borderId="0"/>
    <xf numFmtId="0" fontId="17" fillId="0" borderId="0"/>
    <xf numFmtId="0" fontId="16" fillId="0" borderId="0"/>
    <xf numFmtId="164"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applyNumberFormat="0" applyFill="0" applyBorder="0" applyAlignment="0" applyProtection="0"/>
    <xf numFmtId="0" fontId="50" fillId="0" borderId="52" applyNumberFormat="0" applyFill="0" applyAlignment="0" applyProtection="0"/>
    <xf numFmtId="0" fontId="51" fillId="0" borderId="53" applyNumberFormat="0" applyFill="0" applyAlignment="0" applyProtection="0"/>
    <xf numFmtId="0" fontId="52" fillId="0" borderId="54" applyNumberFormat="0" applyFill="0" applyAlignment="0" applyProtection="0"/>
    <xf numFmtId="0" fontId="52" fillId="0" borderId="0" applyNumberFormat="0" applyFill="0" applyBorder="0" applyAlignment="0" applyProtection="0"/>
    <xf numFmtId="0" fontId="53" fillId="3" borderId="0" applyNumberFormat="0" applyBorder="0" applyAlignment="0" applyProtection="0"/>
    <xf numFmtId="0" fontId="54" fillId="4" borderId="0" applyNumberFormat="0" applyBorder="0" applyAlignment="0" applyProtection="0"/>
    <xf numFmtId="0" fontId="55" fillId="5" borderId="0" applyNumberFormat="0" applyBorder="0" applyAlignment="0" applyProtection="0"/>
    <xf numFmtId="0" fontId="56" fillId="6" borderId="55" applyNumberFormat="0" applyAlignment="0" applyProtection="0"/>
    <xf numFmtId="0" fontId="57" fillId="7" borderId="56" applyNumberFormat="0" applyAlignment="0" applyProtection="0"/>
    <xf numFmtId="0" fontId="58" fillId="7" borderId="55" applyNumberFormat="0" applyAlignment="0" applyProtection="0"/>
    <xf numFmtId="0" fontId="59" fillId="0" borderId="57" applyNumberFormat="0" applyFill="0" applyAlignment="0" applyProtection="0"/>
    <xf numFmtId="0" fontId="60" fillId="8" borderId="58"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60" applyNumberFormat="0" applyFill="0" applyAlignment="0" applyProtection="0"/>
    <xf numFmtId="0" fontId="64"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64" fillId="21" borderId="0" applyNumberFormat="0" applyBorder="0" applyAlignment="0" applyProtection="0"/>
    <xf numFmtId="0" fontId="64"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64" fillId="25" borderId="0" applyNumberFormat="0" applyBorder="0" applyAlignment="0" applyProtection="0"/>
    <xf numFmtId="0" fontId="64"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64" fillId="29" borderId="0" applyNumberFormat="0" applyBorder="0" applyAlignment="0" applyProtection="0"/>
    <xf numFmtId="0" fontId="64"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64" fillId="33" borderId="0" applyNumberFormat="0" applyBorder="0" applyAlignment="0" applyProtection="0"/>
    <xf numFmtId="0" fontId="9" fillId="0" borderId="0"/>
    <xf numFmtId="0" fontId="9" fillId="9" borderId="59" applyNumberFormat="0" applyFont="0" applyAlignment="0" applyProtection="0"/>
    <xf numFmtId="0" fontId="33" fillId="0" borderId="0"/>
    <xf numFmtId="0" fontId="93" fillId="0" borderId="0">
      <alignment vertical="top"/>
    </xf>
    <xf numFmtId="0" fontId="93" fillId="0" borderId="0">
      <alignment vertical="top"/>
    </xf>
    <xf numFmtId="0" fontId="93" fillId="0" borderId="0">
      <alignment vertical="top"/>
    </xf>
    <xf numFmtId="0" fontId="93" fillId="0" borderId="0">
      <alignment vertical="top"/>
    </xf>
    <xf numFmtId="0" fontId="93" fillId="0" borderId="0">
      <alignment vertical="top"/>
    </xf>
    <xf numFmtId="0" fontId="93" fillId="0" borderId="0">
      <alignment vertical="top"/>
    </xf>
    <xf numFmtId="0" fontId="84" fillId="0" borderId="0"/>
    <xf numFmtId="0" fontId="93" fillId="0" borderId="0">
      <alignment vertical="top"/>
    </xf>
    <xf numFmtId="0" fontId="93" fillId="0" borderId="0">
      <alignment vertical="top"/>
    </xf>
    <xf numFmtId="0" fontId="93" fillId="0" borderId="0">
      <alignment vertical="top"/>
    </xf>
    <xf numFmtId="0" fontId="93" fillId="0" borderId="0">
      <alignment vertical="top"/>
    </xf>
    <xf numFmtId="0" fontId="93" fillId="0" borderId="0">
      <alignment vertical="top"/>
    </xf>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6" fillId="11" borderId="0" applyNumberFormat="0" applyBorder="0" applyAlignment="0" applyProtection="0"/>
    <xf numFmtId="0" fontId="96" fillId="11" borderId="0" applyNumberFormat="0" applyBorder="0" applyAlignment="0" applyProtection="0"/>
    <xf numFmtId="0" fontId="96" fillId="11"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96"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4"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6" fillId="15" borderId="0" applyNumberFormat="0" applyBorder="0" applyAlignment="0" applyProtection="0"/>
    <xf numFmtId="0" fontId="96" fillId="15" borderId="0" applyNumberFormat="0" applyBorder="0" applyAlignment="0" applyProtection="0"/>
    <xf numFmtId="0" fontId="96" fillId="15"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96"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6" fillId="19" borderId="0" applyNumberFormat="0" applyBorder="0" applyAlignment="0" applyProtection="0"/>
    <xf numFmtId="0" fontId="96" fillId="19" borderId="0" applyNumberFormat="0" applyBorder="0" applyAlignment="0" applyProtection="0"/>
    <xf numFmtId="0" fontId="96" fillId="19"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96"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96"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6" fillId="27" borderId="0" applyNumberFormat="0" applyBorder="0" applyAlignment="0" applyProtection="0"/>
    <xf numFmtId="0" fontId="96" fillId="27" borderId="0" applyNumberFormat="0" applyBorder="0" applyAlignment="0" applyProtection="0"/>
    <xf numFmtId="0" fontId="96" fillId="27"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96"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96"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6" fillId="12" borderId="0" applyNumberFormat="0" applyBorder="0" applyAlignment="0" applyProtection="0"/>
    <xf numFmtId="0" fontId="96" fillId="12" borderId="0" applyNumberFormat="0" applyBorder="0" applyAlignment="0" applyProtection="0"/>
    <xf numFmtId="0" fontId="96" fillId="12"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96"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6" fillId="16" borderId="0" applyNumberFormat="0" applyBorder="0" applyAlignment="0" applyProtection="0"/>
    <xf numFmtId="0" fontId="96" fillId="16" borderId="0" applyNumberFormat="0" applyBorder="0" applyAlignment="0" applyProtection="0"/>
    <xf numFmtId="0" fontId="96" fillId="1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96"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6" fillId="20" borderId="0" applyNumberFormat="0" applyBorder="0" applyAlignment="0" applyProtection="0"/>
    <xf numFmtId="0" fontId="96" fillId="20" borderId="0" applyNumberFormat="0" applyBorder="0" applyAlignment="0" applyProtection="0"/>
    <xf numFmtId="0" fontId="96" fillId="20"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96"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96"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6" fillId="28" borderId="0" applyNumberFormat="0" applyBorder="0" applyAlignment="0" applyProtection="0"/>
    <xf numFmtId="0" fontId="96" fillId="28" borderId="0" applyNumberFormat="0" applyBorder="0" applyAlignment="0" applyProtection="0"/>
    <xf numFmtId="0" fontId="96" fillId="28"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96"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96"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97" fillId="13" borderId="0" applyNumberFormat="0" applyBorder="0" applyAlignment="0" applyProtection="0"/>
    <xf numFmtId="0" fontId="97" fillId="13" borderId="0" applyNumberFormat="0" applyBorder="0" applyAlignment="0" applyProtection="0"/>
    <xf numFmtId="0" fontId="97" fillId="13" borderId="0" applyNumberFormat="0" applyBorder="0" applyAlignment="0" applyProtection="0"/>
    <xf numFmtId="0" fontId="97" fillId="13"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97" fillId="17" borderId="0" applyNumberFormat="0" applyBorder="0" applyAlignment="0" applyProtection="0"/>
    <xf numFmtId="0" fontId="97" fillId="17" borderId="0" applyNumberFormat="0" applyBorder="0" applyAlignment="0" applyProtection="0"/>
    <xf numFmtId="0" fontId="97" fillId="17" borderId="0" applyNumberFormat="0" applyBorder="0" applyAlignment="0" applyProtection="0"/>
    <xf numFmtId="0" fontId="97" fillId="17"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97" fillId="21" borderId="0" applyNumberFormat="0" applyBorder="0" applyAlignment="0" applyProtection="0"/>
    <xf numFmtId="0" fontId="97" fillId="21" borderId="0" applyNumberFormat="0" applyBorder="0" applyAlignment="0" applyProtection="0"/>
    <xf numFmtId="0" fontId="97" fillId="21" borderId="0" applyNumberFormat="0" applyBorder="0" applyAlignment="0" applyProtection="0"/>
    <xf numFmtId="0" fontId="97" fillId="21"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97" fillId="25" borderId="0" applyNumberFormat="0" applyBorder="0" applyAlignment="0" applyProtection="0"/>
    <xf numFmtId="0" fontId="97" fillId="25" borderId="0" applyNumberFormat="0" applyBorder="0" applyAlignment="0" applyProtection="0"/>
    <xf numFmtId="0" fontId="97" fillId="25" borderId="0" applyNumberFormat="0" applyBorder="0" applyAlignment="0" applyProtection="0"/>
    <xf numFmtId="0" fontId="97" fillId="2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97" fillId="29" borderId="0" applyNumberFormat="0" applyBorder="0" applyAlignment="0" applyProtection="0"/>
    <xf numFmtId="0" fontId="97" fillId="29" borderId="0" applyNumberFormat="0" applyBorder="0" applyAlignment="0" applyProtection="0"/>
    <xf numFmtId="0" fontId="97" fillId="29" borderId="0" applyNumberFormat="0" applyBorder="0" applyAlignment="0" applyProtection="0"/>
    <xf numFmtId="0" fontId="97" fillId="29"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97" fillId="33" borderId="0" applyNumberFormat="0" applyBorder="0" applyAlignment="0" applyProtection="0"/>
    <xf numFmtId="0" fontId="97" fillId="33" borderId="0" applyNumberFormat="0" applyBorder="0" applyAlignment="0" applyProtection="0"/>
    <xf numFmtId="0" fontId="97" fillId="33" borderId="0" applyNumberFormat="0" applyBorder="0" applyAlignment="0" applyProtection="0"/>
    <xf numFmtId="0" fontId="97" fillId="33"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3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97" fillId="10" borderId="0" applyNumberFormat="0" applyBorder="0" applyAlignment="0" applyProtection="0"/>
    <xf numFmtId="0" fontId="97" fillId="10" borderId="0" applyNumberFormat="0" applyBorder="0" applyAlignment="0" applyProtection="0"/>
    <xf numFmtId="0" fontId="97" fillId="10" borderId="0" applyNumberFormat="0" applyBorder="0" applyAlignment="0" applyProtection="0"/>
    <xf numFmtId="0" fontId="97" fillId="10"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97" fillId="14" borderId="0" applyNumberFormat="0" applyBorder="0" applyAlignment="0" applyProtection="0"/>
    <xf numFmtId="0" fontId="97" fillId="14" borderId="0" applyNumberFormat="0" applyBorder="0" applyAlignment="0" applyProtection="0"/>
    <xf numFmtId="0" fontId="97" fillId="14" borderId="0" applyNumberFormat="0" applyBorder="0" applyAlignment="0" applyProtection="0"/>
    <xf numFmtId="0" fontId="97" fillId="1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97" fillId="18" borderId="0" applyNumberFormat="0" applyBorder="0" applyAlignment="0" applyProtection="0"/>
    <xf numFmtId="0" fontId="97" fillId="18" borderId="0" applyNumberFormat="0" applyBorder="0" applyAlignment="0" applyProtection="0"/>
    <xf numFmtId="0" fontId="97" fillId="18" borderId="0" applyNumberFormat="0" applyBorder="0" applyAlignment="0" applyProtection="0"/>
    <xf numFmtId="0" fontId="97" fillId="18"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97" fillId="22" borderId="0" applyNumberFormat="0" applyBorder="0" applyAlignment="0" applyProtection="0"/>
    <xf numFmtId="0" fontId="97" fillId="22" borderId="0" applyNumberFormat="0" applyBorder="0" applyAlignment="0" applyProtection="0"/>
    <xf numFmtId="0" fontId="97" fillId="22" borderId="0" applyNumberFormat="0" applyBorder="0" applyAlignment="0" applyProtection="0"/>
    <xf numFmtId="0" fontId="97" fillId="22"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97" fillId="26" borderId="0" applyNumberFormat="0" applyBorder="0" applyAlignment="0" applyProtection="0"/>
    <xf numFmtId="0" fontId="97" fillId="26" borderId="0" applyNumberFormat="0" applyBorder="0" applyAlignment="0" applyProtection="0"/>
    <xf numFmtId="0" fontId="97" fillId="26" borderId="0" applyNumberFormat="0" applyBorder="0" applyAlignment="0" applyProtection="0"/>
    <xf numFmtId="0" fontId="97" fillId="26"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97" fillId="30" borderId="0" applyNumberFormat="0" applyBorder="0" applyAlignment="0" applyProtection="0"/>
    <xf numFmtId="0" fontId="97" fillId="30" borderId="0" applyNumberFormat="0" applyBorder="0" applyAlignment="0" applyProtection="0"/>
    <xf numFmtId="0" fontId="97" fillId="30" borderId="0" applyNumberFormat="0" applyBorder="0" applyAlignment="0" applyProtection="0"/>
    <xf numFmtId="0" fontId="97" fillId="30"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98" fillId="4" borderId="0" applyNumberFormat="0" applyBorder="0" applyAlignment="0" applyProtection="0"/>
    <xf numFmtId="0" fontId="98" fillId="4" borderId="0" applyNumberFormat="0" applyBorder="0" applyAlignment="0" applyProtection="0"/>
    <xf numFmtId="0" fontId="98" fillId="4" borderId="0" applyNumberFormat="0" applyBorder="0" applyAlignment="0" applyProtection="0"/>
    <xf numFmtId="0" fontId="98" fillId="4"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99" fillId="7" borderId="55" applyNumberFormat="0" applyAlignment="0" applyProtection="0"/>
    <xf numFmtId="0" fontId="99" fillId="7" borderId="55" applyNumberFormat="0" applyAlignment="0" applyProtection="0"/>
    <xf numFmtId="0" fontId="99" fillId="7" borderId="55" applyNumberFormat="0" applyAlignment="0" applyProtection="0"/>
    <xf numFmtId="0" fontId="99" fillId="7" borderId="55"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5" fillId="49" borderId="61" applyNumberFormat="0" applyAlignment="0" applyProtection="0"/>
    <xf numFmtId="0" fontId="86" fillId="0" borderId="0" applyFill="0" applyBorder="0" applyProtection="0">
      <alignment horizontal="center"/>
      <protection locked="0"/>
    </xf>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100" fillId="8" borderId="58" applyNumberFormat="0" applyAlignment="0" applyProtection="0"/>
    <xf numFmtId="0" fontId="100" fillId="8" borderId="58" applyNumberFormat="0" applyAlignment="0" applyProtection="0"/>
    <xf numFmtId="0" fontId="100" fillId="8" borderId="58" applyNumberFormat="0" applyAlignment="0" applyProtection="0"/>
    <xf numFmtId="0" fontId="100" fillId="8" borderId="58"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0" fontId="70" fillId="50" borderId="62" applyNumberFormat="0" applyAlignment="0" applyProtection="0"/>
    <xf numFmtId="167" fontId="33"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95"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0" fontId="33"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67" fillId="0" borderId="0" applyFont="0" applyFill="0" applyBorder="0" applyAlignment="0" applyProtection="0"/>
    <xf numFmtId="167" fontId="67" fillId="0" borderId="0" applyFont="0" applyFill="0" applyBorder="0" applyAlignment="0" applyProtection="0"/>
    <xf numFmtId="167" fontId="67"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73" fontId="82" fillId="0" borderId="0" applyFont="0" applyFill="0" applyBorder="0" applyAlignment="0" applyProtection="0"/>
    <xf numFmtId="167" fontId="67" fillId="0" borderId="0" applyFont="0" applyFill="0" applyBorder="0" applyAlignment="0" applyProtection="0"/>
    <xf numFmtId="167" fontId="33" fillId="0" borderId="0" applyFont="0" applyFill="0" applyBorder="0" applyAlignment="0" applyProtection="0"/>
    <xf numFmtId="174" fontId="33" fillId="0" borderId="0" applyFont="0" applyFill="0" applyBorder="0" applyAlignment="0" applyProtection="0"/>
    <xf numFmtId="167" fontId="95"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95"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95"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95"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4" fontId="66"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4" fontId="48" fillId="0" borderId="0" applyFont="0" applyFill="0" applyBorder="0" applyAlignment="0" applyProtection="0"/>
    <xf numFmtId="167" fontId="33" fillId="0" borderId="0" applyFont="0" applyFill="0" applyBorder="0" applyAlignment="0" applyProtection="0"/>
    <xf numFmtId="0"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75"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77" fillId="0" borderId="0" applyFont="0" applyFill="0" applyBorder="0" applyAlignment="0" applyProtection="0"/>
    <xf numFmtId="167" fontId="33" fillId="0" borderId="0" applyFont="0" applyFill="0" applyBorder="0" applyAlignment="0" applyProtection="0"/>
    <xf numFmtId="167" fontId="77" fillId="0" borderId="0" applyFont="0" applyFill="0" applyBorder="0" applyAlignment="0" applyProtection="0"/>
    <xf numFmtId="0" fontId="33" fillId="0" borderId="0" applyFont="0" applyFill="0" applyBorder="0" applyAlignment="0" applyProtection="0"/>
    <xf numFmtId="167" fontId="95" fillId="0" borderId="0" applyFont="0" applyFill="0" applyBorder="0" applyAlignment="0" applyProtection="0"/>
    <xf numFmtId="167" fontId="77" fillId="0" borderId="0" applyFont="0" applyFill="0" applyBorder="0" applyAlignment="0" applyProtection="0"/>
    <xf numFmtId="167" fontId="77" fillId="0" borderId="0" applyFont="0" applyFill="0" applyBorder="0" applyAlignment="0" applyProtection="0"/>
    <xf numFmtId="173" fontId="82" fillId="0" borderId="0" applyFont="0" applyFill="0" applyBorder="0" applyAlignment="0" applyProtection="0"/>
    <xf numFmtId="167" fontId="77" fillId="0" borderId="0" applyFont="0" applyFill="0" applyBorder="0" applyAlignment="0" applyProtection="0"/>
    <xf numFmtId="164"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7" fontId="33"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4"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7"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0" fontId="87" fillId="0" borderId="0" applyFill="0" applyBorder="0" applyAlignment="0" applyProtection="0">
      <protection locked="0"/>
    </xf>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10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102" fillId="3" borderId="0" applyNumberFormat="0" applyBorder="0" applyAlignment="0" applyProtection="0"/>
    <xf numFmtId="0" fontId="102" fillId="3"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2" fillId="41" borderId="0" applyNumberFormat="0" applyBorder="0" applyAlignment="0" applyProtection="0"/>
    <xf numFmtId="0" fontId="102" fillId="3" borderId="0" applyNumberFormat="0" applyBorder="0" applyAlignment="0" applyProtection="0"/>
    <xf numFmtId="0" fontId="102" fillId="3" borderId="0" applyNumberFormat="0" applyBorder="0" applyAlignment="0" applyProtection="0"/>
    <xf numFmtId="0" fontId="78" fillId="37" borderId="0" applyNumberFormat="0" applyBorder="0" applyAlignment="0" applyProtection="0"/>
    <xf numFmtId="0" fontId="78" fillId="37"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1" borderId="0" applyNumberFormat="0" applyBorder="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88" fillId="0" borderId="64" applyNumberFormat="0" applyFill="0" applyAlignment="0" applyProtection="0"/>
    <xf numFmtId="0" fontId="79" fillId="0" borderId="63" applyNumberFormat="0" applyFill="0" applyAlignment="0" applyProtection="0"/>
    <xf numFmtId="0" fontId="79" fillId="0" borderId="63"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8" fillId="0" borderId="64"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9" fillId="0" borderId="66" applyNumberFormat="0" applyFill="0" applyAlignment="0" applyProtection="0"/>
    <xf numFmtId="0" fontId="80" fillId="0" borderId="65" applyNumberFormat="0" applyFill="0" applyAlignment="0" applyProtection="0"/>
    <xf numFmtId="0" fontId="80" fillId="0" borderId="65"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89" fillId="0" borderId="66"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90" fillId="0" borderId="68" applyNumberFormat="0" applyFill="0" applyAlignment="0" applyProtection="0"/>
    <xf numFmtId="0" fontId="81" fillId="0" borderId="67" applyNumberFormat="0" applyFill="0" applyAlignment="0" applyProtection="0"/>
    <xf numFmtId="0" fontId="81" fillId="0" borderId="67"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68"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90"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65" fillId="0" borderId="0" applyFill="0" applyAlignment="0" applyProtection="0">
      <protection locked="0"/>
    </xf>
    <xf numFmtId="0" fontId="65" fillId="0" borderId="6" applyFill="0" applyAlignment="0" applyProtection="0">
      <protection locked="0"/>
    </xf>
    <xf numFmtId="0" fontId="103" fillId="0" borderId="0" applyNumberFormat="0" applyFill="0" applyBorder="0" applyAlignment="0" applyProtection="0">
      <alignment vertical="top"/>
      <protection locked="0"/>
    </xf>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104" fillId="6" borderId="55" applyNumberFormat="0" applyAlignment="0" applyProtection="0"/>
    <xf numFmtId="0" fontId="104" fillId="6" borderId="55" applyNumberFormat="0" applyAlignment="0" applyProtection="0"/>
    <xf numFmtId="0" fontId="104" fillId="6" borderId="55" applyNumberFormat="0" applyAlignment="0" applyProtection="0"/>
    <xf numFmtId="0" fontId="104" fillId="6" borderId="55"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0" fontId="73" fillId="42" borderId="61" applyNumberFormat="0" applyAlignment="0" applyProtection="0"/>
    <xf numFmtId="38" fontId="33" fillId="0" borderId="0" applyBorder="0"/>
    <xf numFmtId="38" fontId="33" fillId="0" borderId="0" applyBorder="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105" fillId="0" borderId="57" applyNumberFormat="0" applyFill="0" applyAlignment="0" applyProtection="0"/>
    <xf numFmtId="0" fontId="105" fillId="0" borderId="57" applyNumberFormat="0" applyFill="0" applyAlignment="0" applyProtection="0"/>
    <xf numFmtId="0" fontId="105" fillId="0" borderId="57" applyNumberFormat="0" applyFill="0" applyAlignment="0" applyProtection="0"/>
    <xf numFmtId="0" fontId="105" fillId="0" borderId="57"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76" fillId="0" borderId="69" applyNumberFormat="0" applyFill="0" applyAlignment="0" applyProtection="0"/>
    <xf numFmtId="0" fontId="94" fillId="0" borderId="70" applyFont="0" applyAlignment="0">
      <alignment horizontal="center"/>
    </xf>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106" fillId="5" borderId="0" applyNumberFormat="0" applyBorder="0" applyAlignment="0" applyProtection="0"/>
    <xf numFmtId="0" fontId="106" fillId="5" borderId="0" applyNumberFormat="0" applyBorder="0" applyAlignment="0" applyProtection="0"/>
    <xf numFmtId="0" fontId="106" fillId="5" borderId="0" applyNumberFormat="0" applyBorder="0" applyAlignment="0" applyProtection="0"/>
    <xf numFmtId="0" fontId="106" fillId="5"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9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33" fillId="0" borderId="0"/>
    <xf numFmtId="0" fontId="96" fillId="0" borderId="0"/>
    <xf numFmtId="0" fontId="9" fillId="0" borderId="0"/>
    <xf numFmtId="0" fontId="9" fillId="0" borderId="0"/>
    <xf numFmtId="0" fontId="9" fillId="0" borderId="0"/>
    <xf numFmtId="0" fontId="9" fillId="0" borderId="0"/>
    <xf numFmtId="0" fontId="33" fillId="0" borderId="0"/>
    <xf numFmtId="0" fontId="33" fillId="0" borderId="0"/>
    <xf numFmtId="0" fontId="96" fillId="0" borderId="0"/>
    <xf numFmtId="0" fontId="9" fillId="0" borderId="0"/>
    <xf numFmtId="0" fontId="9" fillId="0" borderId="0"/>
    <xf numFmtId="0" fontId="96" fillId="0" borderId="0"/>
    <xf numFmtId="0" fontId="9" fillId="0" borderId="0"/>
    <xf numFmtId="0" fontId="9" fillId="0" borderId="0"/>
    <xf numFmtId="0" fontId="9" fillId="0" borderId="0"/>
    <xf numFmtId="0" fontId="9"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8" fillId="0" borderId="0"/>
    <xf numFmtId="0" fontId="33" fillId="0" borderId="0"/>
    <xf numFmtId="0" fontId="48" fillId="0" borderId="0"/>
    <xf numFmtId="0" fontId="33" fillId="0" borderId="0"/>
    <xf numFmtId="0" fontId="33" fillId="0" borderId="0"/>
    <xf numFmtId="0" fontId="33" fillId="0" borderId="0"/>
    <xf numFmtId="0" fontId="33" fillId="0" borderId="0"/>
    <xf numFmtId="0" fontId="33" fillId="0" borderId="0"/>
    <xf numFmtId="0" fontId="33" fillId="0" borderId="0"/>
    <xf numFmtId="0" fontId="82"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48" fillId="0" borderId="0"/>
    <xf numFmtId="0" fontId="48" fillId="0" borderId="0"/>
    <xf numFmtId="0" fontId="48"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33" fillId="0" borderId="0"/>
    <xf numFmtId="0" fontId="33" fillId="0" borderId="0"/>
    <xf numFmtId="0" fontId="33" fillId="0" borderId="0"/>
    <xf numFmtId="0" fontId="33"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lignment vertical="top"/>
    </xf>
    <xf numFmtId="0" fontId="33" fillId="0" borderId="0"/>
    <xf numFmtId="0" fontId="82"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77" fillId="0" borderId="0"/>
    <xf numFmtId="0" fontId="33" fillId="0" borderId="0">
      <alignment vertical="top"/>
    </xf>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77" fillId="0" borderId="0"/>
    <xf numFmtId="0" fontId="33" fillId="0" borderId="0">
      <alignment vertical="top"/>
    </xf>
    <xf numFmtId="0" fontId="95" fillId="0" borderId="0"/>
    <xf numFmtId="0" fontId="95" fillId="0" borderId="0"/>
    <xf numFmtId="0" fontId="95" fillId="0" borderId="0"/>
    <xf numFmtId="0" fontId="95" fillId="0" borderId="0"/>
    <xf numFmtId="0" fontId="95" fillId="0" borderId="0"/>
    <xf numFmtId="0" fontId="95" fillId="0" borderId="0"/>
    <xf numFmtId="0" fontId="9" fillId="0" borderId="0"/>
    <xf numFmtId="0" fontId="9" fillId="0" borderId="0"/>
    <xf numFmtId="0" fontId="33" fillId="0" borderId="0"/>
    <xf numFmtId="0" fontId="33" fillId="0" borderId="0"/>
    <xf numFmtId="0" fontId="33" fillId="0" borderId="0"/>
    <xf numFmtId="0" fontId="33" fillId="0" borderId="0"/>
    <xf numFmtId="0" fontId="33" fillId="0" borderId="0"/>
    <xf numFmtId="0" fontId="9" fillId="0" borderId="0"/>
    <xf numFmtId="0" fontId="77" fillId="0" borderId="0"/>
    <xf numFmtId="0" fontId="33" fillId="0" borderId="0">
      <alignment vertical="top"/>
    </xf>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lignment vertical="top"/>
    </xf>
    <xf numFmtId="0" fontId="33" fillId="0" borderId="0"/>
    <xf numFmtId="0" fontId="33" fillId="0" borderId="0"/>
    <xf numFmtId="0" fontId="33" fillId="0" borderId="0">
      <alignment vertical="top"/>
    </xf>
    <xf numFmtId="0" fontId="33" fillId="0" borderId="0"/>
    <xf numFmtId="0" fontId="33" fillId="0" borderId="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67" fillId="9" borderId="59" applyNumberFormat="0" applyFont="0" applyAlignment="0" applyProtection="0"/>
    <xf numFmtId="0" fontId="67" fillId="9" borderId="59" applyNumberFormat="0" applyFont="0" applyAlignment="0" applyProtection="0"/>
    <xf numFmtId="0" fontId="67"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67"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48" fillId="9" borderId="59"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33" fillId="38" borderId="71" applyNumberFormat="0" applyFon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107" fillId="7" borderId="56" applyNumberFormat="0" applyAlignment="0" applyProtection="0"/>
    <xf numFmtId="0" fontId="107" fillId="7" borderId="56" applyNumberFormat="0" applyAlignment="0" applyProtection="0"/>
    <xf numFmtId="0" fontId="107" fillId="7" borderId="56" applyNumberFormat="0" applyAlignment="0" applyProtection="0"/>
    <xf numFmtId="0" fontId="107" fillId="7" borderId="56"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0" fontId="74" fillId="49" borderId="72" applyNumberFormat="0" applyAlignment="0" applyProtection="0"/>
    <xf numFmtId="9" fontId="33" fillId="0" borderId="0" applyFont="0" applyFill="0" applyBorder="0" applyAlignment="0" applyProtection="0"/>
    <xf numFmtId="9" fontId="33"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9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9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95" fillId="0" borderId="0" applyFont="0" applyFill="0" applyBorder="0" applyAlignment="0" applyProtection="0"/>
    <xf numFmtId="9" fontId="33" fillId="0" borderId="0" applyFont="0" applyFill="0" applyBorder="0" applyAlignment="0" applyProtection="0"/>
    <xf numFmtId="0" fontId="33" fillId="0" borderId="0"/>
    <xf numFmtId="0" fontId="83" fillId="0" borderId="0">
      <alignment horizontal="left" vertical="top" indent="6"/>
    </xf>
    <xf numFmtId="0" fontId="83" fillId="0" borderId="0">
      <alignment horizontal="left" vertical="top" indent="6"/>
    </xf>
    <xf numFmtId="0" fontId="83" fillId="0" borderId="0">
      <alignment horizontal="left" vertical="top" indent="6"/>
    </xf>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83" fillId="0" borderId="0">
      <alignment horizontal="left" vertical="top" indent="6"/>
    </xf>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108" fillId="0" borderId="60" applyNumberFormat="0" applyFill="0" applyAlignment="0" applyProtection="0"/>
    <xf numFmtId="0" fontId="108" fillId="0" borderId="60" applyNumberFormat="0" applyFill="0" applyAlignment="0" applyProtection="0"/>
    <xf numFmtId="0" fontId="108" fillId="0" borderId="60" applyNumberFormat="0" applyFill="0" applyAlignment="0" applyProtection="0"/>
    <xf numFmtId="0" fontId="108" fillId="0" borderId="60"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5" fillId="0" borderId="73" applyNumberFormat="0" applyFill="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33" fillId="0" borderId="0" applyFont="0" applyFill="0" applyBorder="0" applyAlignment="0" applyProtection="0"/>
    <xf numFmtId="0" fontId="33" fillId="0" borderId="0"/>
    <xf numFmtId="167" fontId="33" fillId="0" borderId="0" applyFont="0" applyFill="0" applyBorder="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165" fontId="9" fillId="0" borderId="0" applyFont="0" applyFill="0" applyBorder="0" applyAlignment="0" applyProtection="0"/>
    <xf numFmtId="164" fontId="9" fillId="0" borderId="0" applyFont="0" applyFill="0" applyBorder="0" applyAlignment="0" applyProtection="0"/>
    <xf numFmtId="9" fontId="9" fillId="0" borderId="0" applyFont="0" applyFill="0" applyBorder="0" applyAlignment="0" applyProtection="0"/>
    <xf numFmtId="0" fontId="9" fillId="0" borderId="0"/>
    <xf numFmtId="164" fontId="9" fillId="0" borderId="0" applyFont="0" applyFill="0" applyBorder="0" applyAlignment="0" applyProtection="0"/>
    <xf numFmtId="9" fontId="9" fillId="0" borderId="0" applyFont="0" applyFill="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9" borderId="59" applyNumberFormat="0" applyFont="0" applyAlignment="0" applyProtection="0"/>
    <xf numFmtId="0" fontId="9" fillId="9" borderId="5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9" borderId="59" applyNumberFormat="0" applyFont="0" applyAlignment="0" applyProtection="0"/>
    <xf numFmtId="0" fontId="9" fillId="9" borderId="5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165" fontId="9" fillId="0" borderId="0" applyFont="0" applyFill="0" applyBorder="0" applyAlignment="0" applyProtection="0"/>
    <xf numFmtId="0" fontId="9" fillId="0" borderId="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165"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9" borderId="59" applyNumberFormat="0" applyFont="0" applyAlignment="0" applyProtection="0"/>
    <xf numFmtId="0" fontId="33" fillId="0" borderId="0"/>
    <xf numFmtId="0" fontId="9" fillId="9" borderId="59" applyNumberFormat="0" applyFont="0" applyAlignment="0" applyProtection="0"/>
    <xf numFmtId="165"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9" borderId="59" applyNumberFormat="0" applyFont="0" applyAlignment="0" applyProtection="0"/>
    <xf numFmtId="0" fontId="9" fillId="9" borderId="59" applyNumberFormat="0" applyFont="0" applyAlignment="0" applyProtection="0"/>
    <xf numFmtId="167" fontId="95" fillId="0" borderId="0" applyFont="0" applyFill="0" applyBorder="0" applyAlignment="0" applyProtection="0"/>
    <xf numFmtId="9" fontId="95" fillId="0" borderId="0" applyFont="0" applyFill="0" applyBorder="0" applyAlignment="0" applyProtection="0"/>
    <xf numFmtId="164" fontId="9" fillId="0" borderId="0" applyFont="0" applyFill="0" applyBorder="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165" fontId="9" fillId="0" borderId="0" applyFont="0" applyFill="0" applyBorder="0" applyAlignment="0" applyProtection="0"/>
    <xf numFmtId="164" fontId="9" fillId="0" borderId="0" applyFont="0" applyFill="0" applyBorder="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165" fontId="9" fillId="0" borderId="0" applyFont="0" applyFill="0" applyBorder="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165"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9" borderId="59" applyNumberFormat="0" applyFont="0" applyAlignment="0" applyProtection="0"/>
    <xf numFmtId="0" fontId="9" fillId="9" borderId="59" applyNumberFormat="0" applyFont="0" applyAlignment="0" applyProtection="0"/>
    <xf numFmtId="165"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0" fontId="9" fillId="9" borderId="59" applyNumberFormat="0" applyFont="0" applyAlignment="0" applyProtection="0"/>
    <xf numFmtId="0" fontId="9" fillId="9" borderId="59" applyNumberFormat="0" applyFont="0" applyAlignment="0" applyProtection="0"/>
    <xf numFmtId="164" fontId="9" fillId="0" borderId="0" applyFont="0" applyFill="0" applyBorder="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0" fontId="9" fillId="9" borderId="59" applyNumberFormat="0" applyFont="0" applyAlignment="0" applyProtection="0"/>
    <xf numFmtId="165" fontId="9"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164"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164" fontId="33"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33" fillId="0" borderId="0" applyFont="0" applyFill="0" applyBorder="0" applyAlignment="0" applyProtection="0"/>
    <xf numFmtId="0" fontId="7" fillId="0" borderId="0"/>
    <xf numFmtId="0" fontId="7" fillId="0" borderId="0"/>
    <xf numFmtId="0" fontId="7" fillId="0" borderId="0"/>
    <xf numFmtId="0" fontId="7" fillId="0" borderId="0"/>
    <xf numFmtId="0" fontId="6" fillId="0" borderId="0"/>
    <xf numFmtId="0" fontId="6" fillId="9" borderId="59"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10" fillId="0" borderId="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0" fillId="0" borderId="0"/>
    <xf numFmtId="0" fontId="6" fillId="0" borderId="0"/>
    <xf numFmtId="0" fontId="6" fillId="0" borderId="0"/>
    <xf numFmtId="0" fontId="6" fillId="0" borderId="0"/>
    <xf numFmtId="0" fontId="6" fillId="0" borderId="0"/>
    <xf numFmtId="164" fontId="33" fillId="0" borderId="0" applyFont="0" applyFill="0" applyBorder="0" applyAlignment="0" applyProtection="0"/>
    <xf numFmtId="0" fontId="110" fillId="0" borderId="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165"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6" fillId="0" borderId="0"/>
    <xf numFmtId="164"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9" borderId="59" applyNumberFormat="0" applyFont="0" applyAlignment="0" applyProtection="0"/>
    <xf numFmtId="0" fontId="6" fillId="9" borderId="59"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9" borderId="59" applyNumberFormat="0" applyFont="0" applyAlignment="0" applyProtection="0"/>
    <xf numFmtId="0" fontId="6" fillId="9" borderId="59"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5" fontId="6" fillId="0" borderId="0" applyFont="0" applyFill="0" applyBorder="0" applyAlignment="0" applyProtection="0"/>
    <xf numFmtId="0" fontId="6" fillId="0" borderId="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165"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9" borderId="59" applyNumberFormat="0" applyFont="0" applyAlignment="0" applyProtection="0"/>
    <xf numFmtId="0" fontId="6" fillId="9" borderId="59" applyNumberFormat="0" applyFont="0" applyAlignment="0" applyProtection="0"/>
    <xf numFmtId="165"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9" borderId="59" applyNumberFormat="0" applyFont="0" applyAlignment="0" applyProtection="0"/>
    <xf numFmtId="0" fontId="6" fillId="9" borderId="59" applyNumberFormat="0" applyFont="0" applyAlignment="0" applyProtection="0"/>
    <xf numFmtId="164" fontId="6" fillId="0" borderId="0" applyFont="0" applyFill="0" applyBorder="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165" fontId="6" fillId="0" borderId="0" applyFont="0" applyFill="0" applyBorder="0" applyAlignment="0" applyProtection="0"/>
    <xf numFmtId="164" fontId="6" fillId="0" borderId="0" applyFont="0" applyFill="0" applyBorder="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165" fontId="6" fillId="0" borderId="0" applyFont="0" applyFill="0" applyBorder="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165"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9" borderId="59" applyNumberFormat="0" applyFont="0" applyAlignment="0" applyProtection="0"/>
    <xf numFmtId="0" fontId="6" fillId="9" borderId="59" applyNumberFormat="0" applyFont="0" applyAlignment="0" applyProtection="0"/>
    <xf numFmtId="165"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9" borderId="59" applyNumberFormat="0" applyFont="0" applyAlignment="0" applyProtection="0"/>
    <xf numFmtId="0" fontId="6" fillId="9" borderId="59" applyNumberFormat="0" applyFont="0" applyAlignment="0" applyProtection="0"/>
    <xf numFmtId="164" fontId="6" fillId="0" borderId="0" applyFont="0" applyFill="0" applyBorder="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0" fontId="6" fillId="9" borderId="59" applyNumberFormat="0" applyFont="0" applyAlignment="0" applyProtection="0"/>
    <xf numFmtId="165" fontId="6" fillId="0" borderId="0" applyFont="0" applyFill="0" applyBorder="0" applyAlignment="0" applyProtection="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164" fontId="110" fillId="0" borderId="0" applyFont="0" applyFill="0" applyBorder="0" applyAlignment="0" applyProtection="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164" fontId="33" fillId="0" borderId="0" applyFont="0" applyFill="0" applyBorder="0" applyAlignment="0" applyProtection="0"/>
    <xf numFmtId="0" fontId="6" fillId="0" borderId="0"/>
    <xf numFmtId="0" fontId="6" fillId="0" borderId="0"/>
    <xf numFmtId="164" fontId="33"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59" applyNumberFormat="0" applyFont="0" applyAlignment="0" applyProtection="0"/>
    <xf numFmtId="0" fontId="3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3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1" fillId="0" borderId="0"/>
    <xf numFmtId="9" fontId="111" fillId="0" borderId="0" applyFont="0" applyFill="0" applyBorder="0" applyAlignment="0" applyProtection="0"/>
    <xf numFmtId="164" fontId="3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9" borderId="59" applyNumberFormat="0" applyFont="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164" fontId="3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33" fillId="0" borderId="0" applyFont="0" applyFill="0" applyBorder="0" applyAlignment="0" applyProtection="0"/>
    <xf numFmtId="164" fontId="33"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165" fontId="4" fillId="0" borderId="0" applyFont="0" applyFill="0" applyBorder="0" applyAlignment="0" applyProtection="0"/>
    <xf numFmtId="0" fontId="4" fillId="0" borderId="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4" fillId="0" borderId="0"/>
    <xf numFmtId="0" fontId="4" fillId="9" borderId="59" applyNumberFormat="0" applyFont="0" applyAlignment="0" applyProtection="0"/>
    <xf numFmtId="0" fontId="4" fillId="9" borderId="59" applyNumberFormat="0" applyFont="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9" borderId="59"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165" fontId="4" fillId="0" borderId="0" applyFont="0" applyFill="0" applyBorder="0" applyAlignment="0" applyProtection="0"/>
    <xf numFmtId="0" fontId="4" fillId="0" borderId="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4" fillId="0" borderId="0"/>
    <xf numFmtId="0" fontId="4" fillId="9" borderId="59" applyNumberFormat="0" applyFont="0" applyAlignment="0" applyProtection="0"/>
    <xf numFmtId="0" fontId="4" fillId="9" borderId="59" applyNumberFormat="0" applyFont="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164" fontId="4" fillId="0" borderId="0" applyFont="0" applyFill="0" applyBorder="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0" fontId="4" fillId="9" borderId="59"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9" borderId="59"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3" fillId="0" borderId="0" applyFont="0" applyFill="0" applyBorder="0" applyAlignment="0" applyProtection="0"/>
    <xf numFmtId="164" fontId="33" fillId="0" borderId="0" applyFont="0" applyFill="0" applyBorder="0" applyAlignment="0" applyProtection="0"/>
    <xf numFmtId="0" fontId="2" fillId="0" borderId="0"/>
    <xf numFmtId="0" fontId="2" fillId="0" borderId="0"/>
    <xf numFmtId="0" fontId="117" fillId="0" borderId="0"/>
    <xf numFmtId="0" fontId="124" fillId="0" borderId="0" applyNumberFormat="0" applyFill="0" applyBorder="0" applyAlignment="0" applyProtection="0"/>
    <xf numFmtId="0" fontId="1" fillId="0" borderId="0"/>
    <xf numFmtId="167" fontId="1" fillId="0" borderId="0" applyFont="0" applyFill="0" applyBorder="0" applyAlignment="0" applyProtection="0"/>
    <xf numFmtId="9" fontId="1" fillId="0" borderId="0" applyFont="0" applyFill="0" applyBorder="0" applyAlignment="0" applyProtection="0"/>
  </cellStyleXfs>
  <cellXfs count="232">
    <xf numFmtId="0" fontId="0" fillId="0" borderId="0" xfId="0"/>
    <xf numFmtId="0" fontId="36" fillId="0" borderId="0" xfId="0" applyFont="1"/>
    <xf numFmtId="0" fontId="37" fillId="0" borderId="3" xfId="0" applyFont="1" applyBorder="1" applyAlignment="1">
      <alignment vertical="top" wrapText="1"/>
    </xf>
    <xf numFmtId="0" fontId="37" fillId="0" borderId="22" xfId="0" applyFont="1" applyBorder="1" applyAlignment="1">
      <alignment horizontal="left" vertical="top" wrapText="1"/>
    </xf>
    <xf numFmtId="10" fontId="36" fillId="0" borderId="0" xfId="0" applyNumberFormat="1" applyFont="1"/>
    <xf numFmtId="167" fontId="36" fillId="0" borderId="0" xfId="0" applyNumberFormat="1" applyFont="1"/>
    <xf numFmtId="0" fontId="37" fillId="0" borderId="25" xfId="0" applyFont="1" applyBorder="1" applyAlignment="1">
      <alignment horizontal="left" vertical="center" wrapText="1"/>
    </xf>
    <xf numFmtId="0" fontId="37" fillId="0" borderId="10" xfId="0" applyFont="1" applyBorder="1" applyAlignment="1">
      <alignment horizontal="left" vertical="top" wrapText="1"/>
    </xf>
    <xf numFmtId="0" fontId="37" fillId="0" borderId="7" xfId="0" applyFont="1" applyBorder="1" applyAlignment="1">
      <alignment horizontal="left" vertical="top" wrapText="1"/>
    </xf>
    <xf numFmtId="2" fontId="36" fillId="0" borderId="0" xfId="0" applyNumberFormat="1" applyFont="1"/>
    <xf numFmtId="168" fontId="36" fillId="0" borderId="0" xfId="0" applyNumberFormat="1" applyFont="1" applyAlignment="1">
      <alignment horizontal="right"/>
    </xf>
    <xf numFmtId="0" fontId="37" fillId="0" borderId="21" xfId="0" applyFont="1" applyBorder="1" applyAlignment="1">
      <alignment wrapText="1"/>
    </xf>
    <xf numFmtId="0" fontId="37" fillId="0" borderId="26" xfId="0" applyFont="1" applyBorder="1" applyAlignment="1">
      <alignment horizontal="center" vertical="top" wrapText="1"/>
    </xf>
    <xf numFmtId="0" fontId="37" fillId="0" borderId="26" xfId="0" applyFont="1" applyBorder="1" applyAlignment="1">
      <alignment vertical="top" wrapText="1"/>
    </xf>
    <xf numFmtId="0" fontId="36" fillId="0" borderId="26" xfId="0" applyFont="1" applyBorder="1" applyAlignment="1">
      <alignment horizontal="center" vertical="center" wrapText="1"/>
    </xf>
    <xf numFmtId="0" fontId="36" fillId="0" borderId="19" xfId="0" applyFont="1" applyBorder="1" applyAlignment="1">
      <alignment horizontal="left"/>
    </xf>
    <xf numFmtId="0" fontId="36" fillId="0" borderId="0" xfId="0" applyFont="1" applyAlignment="1">
      <alignment horizontal="center"/>
    </xf>
    <xf numFmtId="0" fontId="36" fillId="0" borderId="0" xfId="0" applyFont="1" applyAlignment="1">
      <alignment horizontal="left"/>
    </xf>
    <xf numFmtId="0" fontId="36" fillId="0" borderId="18" xfId="0" applyFont="1" applyBorder="1" applyAlignment="1">
      <alignment horizontal="center"/>
    </xf>
    <xf numFmtId="0" fontId="36" fillId="0" borderId="18" xfId="0" applyFont="1" applyBorder="1" applyAlignment="1">
      <alignment horizontal="right"/>
    </xf>
    <xf numFmtId="0" fontId="37" fillId="0" borderId="18" xfId="0" applyFont="1" applyBorder="1" applyAlignment="1">
      <alignment horizontal="right"/>
    </xf>
    <xf numFmtId="0" fontId="36" fillId="0" borderId="0" xfId="0" applyFont="1" applyAlignment="1">
      <alignment horizontal="right"/>
    </xf>
    <xf numFmtId="171" fontId="37" fillId="0" borderId="18" xfId="0" applyNumberFormat="1" applyFont="1" applyBorder="1" applyAlignment="1">
      <alignment horizontal="right"/>
    </xf>
    <xf numFmtId="0" fontId="41" fillId="0" borderId="0" xfId="0" applyFont="1"/>
    <xf numFmtId="0" fontId="41" fillId="2" borderId="0" xfId="0" applyFont="1" applyFill="1"/>
    <xf numFmtId="164" fontId="41" fillId="0" borderId="0" xfId="2" applyFont="1"/>
    <xf numFmtId="14" fontId="41" fillId="2" borderId="0" xfId="0" applyNumberFormat="1" applyFont="1" applyFill="1"/>
    <xf numFmtId="170" fontId="41" fillId="0" borderId="0" xfId="0" applyNumberFormat="1" applyFont="1"/>
    <xf numFmtId="169" fontId="41" fillId="0" borderId="0" xfId="0" applyNumberFormat="1" applyFont="1"/>
    <xf numFmtId="0" fontId="41" fillId="0" borderId="0" xfId="0" applyFont="1" applyAlignment="1">
      <alignment horizontal="left"/>
    </xf>
    <xf numFmtId="164" fontId="41" fillId="2" borderId="0" xfId="2" applyFont="1" applyFill="1"/>
    <xf numFmtId="2" fontId="41" fillId="0" borderId="0" xfId="0" applyNumberFormat="1" applyFont="1"/>
    <xf numFmtId="0" fontId="37" fillId="0" borderId="24" xfId="0" applyFont="1" applyBorder="1" applyAlignment="1">
      <alignment horizontal="center" vertical="top" wrapText="1"/>
    </xf>
    <xf numFmtId="0" fontId="37" fillId="0" borderId="4" xfId="0" applyFont="1" applyBorder="1" applyAlignment="1">
      <alignment horizontal="left" vertical="top" wrapText="1"/>
    </xf>
    <xf numFmtId="0" fontId="37" fillId="0" borderId="4" xfId="0" applyFont="1" applyBorder="1" applyAlignment="1">
      <alignment horizontal="center" vertical="top" wrapText="1"/>
    </xf>
    <xf numFmtId="0" fontId="37" fillId="0" borderId="5" xfId="0" applyFont="1" applyBorder="1" applyAlignment="1">
      <alignment horizontal="center" vertical="top" wrapText="1"/>
    </xf>
    <xf numFmtId="0" fontId="36" fillId="0" borderId="22" xfId="0" applyFont="1" applyBorder="1" applyAlignment="1">
      <alignment horizontal="center" vertical="center" wrapText="1"/>
    </xf>
    <xf numFmtId="0" fontId="37" fillId="0" borderId="2" xfId="0" applyFont="1" applyBorder="1" applyAlignment="1">
      <alignment horizontal="left" vertical="top" wrapText="1"/>
    </xf>
    <xf numFmtId="0" fontId="37" fillId="0" borderId="18" xfId="0" applyFont="1" applyBorder="1" applyAlignment="1">
      <alignment horizontal="left" vertical="top" wrapText="1"/>
    </xf>
    <xf numFmtId="0" fontId="37" fillId="0" borderId="24" xfId="0" applyFont="1" applyBorder="1" applyAlignment="1">
      <alignment horizontal="left" vertical="top" wrapText="1"/>
    </xf>
    <xf numFmtId="0" fontId="37" fillId="0" borderId="20" xfId="0" applyFont="1" applyBorder="1" applyAlignment="1">
      <alignment horizontal="left" vertical="top" wrapText="1"/>
    </xf>
    <xf numFmtId="0" fontId="37" fillId="0" borderId="23" xfId="0" applyFont="1" applyBorder="1" applyAlignment="1">
      <alignment horizontal="center" vertical="center" wrapText="1"/>
    </xf>
    <xf numFmtId="0" fontId="37" fillId="0" borderId="26" xfId="0" applyFont="1" applyBorder="1" applyAlignment="1">
      <alignment horizontal="center" vertical="center" wrapText="1"/>
    </xf>
    <xf numFmtId="0" fontId="43" fillId="0" borderId="0" xfId="0" applyFont="1"/>
    <xf numFmtId="0" fontId="36" fillId="0" borderId="28" xfId="0" applyFont="1" applyBorder="1" applyAlignment="1">
      <alignment vertical="top" wrapText="1"/>
    </xf>
    <xf numFmtId="2" fontId="43" fillId="0" borderId="0" xfId="0" applyNumberFormat="1" applyFont="1"/>
    <xf numFmtId="164" fontId="37" fillId="0" borderId="20" xfId="2" applyFont="1" applyFill="1" applyBorder="1" applyAlignment="1">
      <alignment horizontal="right" vertical="top" wrapText="1"/>
    </xf>
    <xf numFmtId="172" fontId="37" fillId="0" borderId="20" xfId="2" applyNumberFormat="1" applyFont="1" applyFill="1" applyBorder="1" applyAlignment="1">
      <alignment horizontal="right" vertical="top" wrapText="1"/>
    </xf>
    <xf numFmtId="167" fontId="37" fillId="0" borderId="25" xfId="1" applyFont="1" applyFill="1" applyBorder="1" applyAlignment="1">
      <alignment horizontal="right" vertical="top" wrapText="1"/>
    </xf>
    <xf numFmtId="167" fontId="37" fillId="0" borderId="25" xfId="0" applyNumberFormat="1" applyFont="1" applyBorder="1" applyAlignment="1">
      <alignment horizontal="right" vertical="top" wrapText="1"/>
    </xf>
    <xf numFmtId="14" fontId="36" fillId="0" borderId="0" xfId="0" applyNumberFormat="1" applyFont="1" applyAlignment="1">
      <alignment horizontal="left"/>
    </xf>
    <xf numFmtId="0" fontId="36" fillId="0" borderId="27" xfId="0" applyFont="1" applyBorder="1" applyAlignment="1">
      <alignment vertical="top" wrapText="1"/>
    </xf>
    <xf numFmtId="0" fontId="36" fillId="0" borderId="11" xfId="0" applyFont="1" applyBorder="1" applyAlignment="1">
      <alignment vertical="top" wrapText="1"/>
    </xf>
    <xf numFmtId="0" fontId="37" fillId="0" borderId="22" xfId="0" applyFont="1" applyBorder="1" applyAlignment="1">
      <alignment horizontal="center" vertical="top" wrapText="1"/>
    </xf>
    <xf numFmtId="0" fontId="37" fillId="0" borderId="18" xfId="0" applyFont="1" applyBorder="1" applyAlignment="1">
      <alignment horizontal="center" vertical="top" wrapText="1"/>
    </xf>
    <xf numFmtId="0" fontId="37" fillId="0" borderId="12" xfId="0" applyFont="1" applyBorder="1" applyAlignment="1">
      <alignment horizontal="center" vertical="top" wrapText="1"/>
    </xf>
    <xf numFmtId="0" fontId="37" fillId="0" borderId="35" xfId="0" applyFont="1" applyBorder="1" applyAlignment="1">
      <alignment horizontal="center" vertical="top" wrapText="1"/>
    </xf>
    <xf numFmtId="0" fontId="37" fillId="0" borderId="36" xfId="0" applyFont="1" applyBorder="1" applyAlignment="1">
      <alignment horizontal="center" vertical="top" wrapText="1"/>
    </xf>
    <xf numFmtId="0" fontId="36" fillId="0" borderId="37" xfId="0" applyFont="1" applyBorder="1" applyAlignment="1">
      <alignment horizontal="center" vertical="top" wrapText="1"/>
    </xf>
    <xf numFmtId="0" fontId="37" fillId="0" borderId="20" xfId="0" applyFont="1" applyBorder="1" applyAlignment="1">
      <alignment vertical="top" wrapText="1"/>
    </xf>
    <xf numFmtId="0" fontId="36" fillId="0" borderId="20" xfId="0" applyFont="1" applyBorder="1" applyAlignment="1">
      <alignment vertical="top" wrapText="1"/>
    </xf>
    <xf numFmtId="0" fontId="37" fillId="0" borderId="25" xfId="0" applyFont="1" applyBorder="1" applyAlignment="1">
      <alignment vertical="top" wrapText="1"/>
    </xf>
    <xf numFmtId="10" fontId="41" fillId="0" borderId="0" xfId="0" applyNumberFormat="1" applyFont="1"/>
    <xf numFmtId="172" fontId="37" fillId="0" borderId="25" xfId="2" applyNumberFormat="1" applyFont="1" applyFill="1" applyBorder="1" applyAlignment="1">
      <alignment horizontal="right" vertical="top" wrapText="1"/>
    </xf>
    <xf numFmtId="0" fontId="36" fillId="0" borderId="27" xfId="0" applyFont="1" applyBorder="1" applyAlignment="1">
      <alignment horizontal="left" vertical="top" wrapText="1" indent="1"/>
    </xf>
    <xf numFmtId="0" fontId="36" fillId="0" borderId="43" xfId="0" applyFont="1" applyBorder="1" applyAlignment="1">
      <alignment vertical="top" wrapText="1"/>
    </xf>
    <xf numFmtId="0" fontId="36" fillId="0" borderId="44" xfId="0" applyFont="1" applyBorder="1" applyAlignment="1">
      <alignment vertical="top" wrapText="1"/>
    </xf>
    <xf numFmtId="172" fontId="36" fillId="0" borderId="40" xfId="0" applyNumberFormat="1" applyFont="1" applyBorder="1" applyAlignment="1">
      <alignment vertical="top" wrapText="1"/>
    </xf>
    <xf numFmtId="0" fontId="37" fillId="0" borderId="6" xfId="0" applyFont="1" applyBorder="1" applyAlignment="1">
      <alignment horizontal="center" vertical="center" wrapText="1"/>
    </xf>
    <xf numFmtId="0" fontId="36" fillId="0" borderId="42" xfId="0" applyFont="1" applyBorder="1" applyAlignment="1">
      <alignment horizontal="center" vertical="top" wrapText="1"/>
    </xf>
    <xf numFmtId="0" fontId="36" fillId="0" borderId="30" xfId="0" applyFont="1" applyBorder="1" applyAlignment="1">
      <alignment vertical="top" wrapText="1"/>
    </xf>
    <xf numFmtId="0" fontId="36" fillId="0" borderId="6" xfId="0" applyFont="1" applyBorder="1" applyAlignment="1">
      <alignment vertical="top" wrapText="1"/>
    </xf>
    <xf numFmtId="0" fontId="36" fillId="0" borderId="6" xfId="0" applyFont="1" applyBorder="1" applyAlignment="1">
      <alignment horizontal="center" vertical="top" wrapText="1"/>
    </xf>
    <xf numFmtId="0" fontId="36" fillId="0" borderId="26" xfId="0" applyFont="1" applyBorder="1" applyAlignment="1">
      <alignment vertical="top" wrapText="1"/>
    </xf>
    <xf numFmtId="0" fontId="36" fillId="0" borderId="26" xfId="0" applyFont="1" applyBorder="1" applyAlignment="1">
      <alignment horizontal="center" vertical="top" wrapText="1"/>
    </xf>
    <xf numFmtId="0" fontId="0" fillId="0" borderId="0" xfId="0" applyAlignment="1">
      <alignment horizontal="center"/>
    </xf>
    <xf numFmtId="0" fontId="47" fillId="0" borderId="0" xfId="0" applyFont="1" applyAlignment="1">
      <alignment horizontal="center"/>
    </xf>
    <xf numFmtId="0" fontId="47" fillId="0" borderId="1" xfId="0" applyFont="1" applyBorder="1" applyAlignment="1">
      <alignment horizontal="center" vertical="top" wrapText="1"/>
    </xf>
    <xf numFmtId="0" fontId="47" fillId="0" borderId="8" xfId="0" applyFont="1" applyBorder="1" applyAlignment="1">
      <alignment horizontal="center" vertical="top" wrapText="1"/>
    </xf>
    <xf numFmtId="0" fontId="46" fillId="0" borderId="7" xfId="0" applyFont="1" applyBorder="1" applyAlignment="1">
      <alignment vertical="top" wrapText="1"/>
    </xf>
    <xf numFmtId="164" fontId="41" fillId="0" borderId="0" xfId="2" applyFont="1" applyAlignment="1">
      <alignment wrapText="1"/>
    </xf>
    <xf numFmtId="164" fontId="41" fillId="2" borderId="0" xfId="7" applyFont="1" applyFill="1"/>
    <xf numFmtId="4" fontId="41" fillId="0" borderId="0" xfId="0" applyNumberFormat="1" applyFont="1"/>
    <xf numFmtId="164" fontId="41" fillId="0" borderId="0" xfId="0" applyNumberFormat="1" applyFont="1"/>
    <xf numFmtId="0" fontId="41" fillId="2" borderId="0" xfId="0" applyFont="1" applyFill="1" applyAlignment="1">
      <alignment vertical="top"/>
    </xf>
    <xf numFmtId="0" fontId="41" fillId="0" borderId="0" xfId="0" applyFont="1" applyAlignment="1">
      <alignment vertical="top"/>
    </xf>
    <xf numFmtId="0" fontId="112" fillId="0" borderId="11" xfId="3" applyFont="1" applyBorder="1" applyAlignment="1">
      <alignment horizontal="center" vertical="center" wrapText="1"/>
    </xf>
    <xf numFmtId="0" fontId="112" fillId="0" borderId="11" xfId="3" applyFont="1" applyBorder="1" applyAlignment="1">
      <alignment horizontal="center" vertical="center"/>
    </xf>
    <xf numFmtId="177" fontId="41" fillId="0" borderId="0" xfId="2" applyNumberFormat="1" applyFont="1"/>
    <xf numFmtId="0" fontId="113" fillId="0" borderId="0" xfId="4" applyFont="1"/>
    <xf numFmtId="164" fontId="41" fillId="0" borderId="0" xfId="2326" applyFont="1"/>
    <xf numFmtId="14" fontId="113" fillId="0" borderId="0" xfId="4" applyNumberFormat="1" applyFont="1"/>
    <xf numFmtId="10" fontId="113" fillId="0" borderId="0" xfId="4" applyNumberFormat="1" applyFont="1"/>
    <xf numFmtId="0" fontId="61" fillId="0" borderId="0" xfId="4" applyFont="1"/>
    <xf numFmtId="176" fontId="113" fillId="0" borderId="0" xfId="4" applyNumberFormat="1" applyFont="1"/>
    <xf numFmtId="0" fontId="64" fillId="0" borderId="0" xfId="4" applyFont="1"/>
    <xf numFmtId="0" fontId="64" fillId="0" borderId="0" xfId="4" applyFont="1" applyAlignment="1">
      <alignment horizontal="center"/>
    </xf>
    <xf numFmtId="0" fontId="61" fillId="0" borderId="0" xfId="4" applyFont="1" applyAlignment="1">
      <alignment horizontal="center"/>
    </xf>
    <xf numFmtId="43" fontId="41" fillId="0" borderId="0" xfId="0" applyNumberFormat="1" applyFont="1"/>
    <xf numFmtId="164" fontId="109" fillId="0" borderId="0" xfId="2" applyFont="1"/>
    <xf numFmtId="164" fontId="37" fillId="0" borderId="20" xfId="5" applyNumberFormat="1" applyFont="1" applyFill="1" applyBorder="1" applyAlignment="1">
      <alignment horizontal="right" vertical="top" wrapText="1"/>
    </xf>
    <xf numFmtId="0" fontId="37" fillId="0" borderId="9" xfId="0" applyFont="1" applyBorder="1" applyAlignment="1">
      <alignment horizontal="left" vertical="top" wrapText="1"/>
    </xf>
    <xf numFmtId="0" fontId="41" fillId="0" borderId="11" xfId="0" applyFont="1" applyBorder="1"/>
    <xf numFmtId="0" fontId="116" fillId="0" borderId="0" xfId="0" applyFont="1" applyAlignment="1">
      <alignment horizontal="right"/>
    </xf>
    <xf numFmtId="178" fontId="115" fillId="0" borderId="20" xfId="5" applyNumberFormat="1" applyFont="1" applyFill="1" applyBorder="1" applyAlignment="1">
      <alignment horizontal="center" vertical="top" wrapText="1"/>
    </xf>
    <xf numFmtId="172" fontId="43" fillId="0" borderId="0" xfId="0" applyNumberFormat="1" applyFont="1"/>
    <xf numFmtId="0" fontId="117" fillId="0" borderId="0" xfId="5388" applyAlignment="1">
      <alignment horizontal="left" vertical="top"/>
    </xf>
    <xf numFmtId="0" fontId="119" fillId="0" borderId="80" xfId="5388" applyFont="1" applyBorder="1" applyAlignment="1">
      <alignment horizontal="left" wrapText="1"/>
    </xf>
    <xf numFmtId="0" fontId="117" fillId="0" borderId="81" xfId="5388" applyBorder="1" applyAlignment="1">
      <alignment horizontal="left" wrapText="1"/>
    </xf>
    <xf numFmtId="0" fontId="123" fillId="0" borderId="0" xfId="0" applyFont="1"/>
    <xf numFmtId="164" fontId="43" fillId="0" borderId="0" xfId="2" applyFont="1"/>
    <xf numFmtId="9" fontId="36" fillId="0" borderId="11" xfId="5" applyFont="1" applyBorder="1" applyAlignment="1">
      <alignment horizontal="center" vertical="center" wrapText="1"/>
    </xf>
    <xf numFmtId="0" fontId="36" fillId="0" borderId="11" xfId="0" applyFont="1" applyBorder="1" applyAlignment="1">
      <alignment horizontal="center" vertical="center" wrapText="1"/>
    </xf>
    <xf numFmtId="180" fontId="41" fillId="2" borderId="0" xfId="2" applyNumberFormat="1" applyFont="1" applyFill="1"/>
    <xf numFmtId="0" fontId="33" fillId="2" borderId="0" xfId="0" applyFont="1" applyFill="1"/>
    <xf numFmtId="0" fontId="124" fillId="2" borderId="0" xfId="5389" applyFill="1"/>
    <xf numFmtId="0" fontId="41" fillId="2" borderId="0" xfId="0" quotePrefix="1" applyFont="1" applyFill="1"/>
    <xf numFmtId="0" fontId="40" fillId="0" borderId="11" xfId="0" applyFont="1" applyBorder="1" applyAlignment="1">
      <alignment horizontal="center"/>
    </xf>
    <xf numFmtId="1" fontId="65" fillId="0" borderId="11" xfId="5390" applyNumberFormat="1" applyFont="1" applyBorder="1" applyAlignment="1">
      <alignment horizontal="center" vertical="center"/>
    </xf>
    <xf numFmtId="172" fontId="112" fillId="0" borderId="11" xfId="5391" applyNumberFormat="1" applyFont="1" applyFill="1" applyBorder="1" applyAlignment="1">
      <alignment horizontal="center" vertical="center" wrapText="1"/>
    </xf>
    <xf numFmtId="0" fontId="112" fillId="0" borderId="11" xfId="3" applyFont="1" applyBorder="1" applyAlignment="1">
      <alignment vertical="center" wrapText="1"/>
    </xf>
    <xf numFmtId="10" fontId="112" fillId="0" borderId="11" xfId="5392" applyNumberFormat="1" applyFont="1" applyFill="1" applyBorder="1" applyAlignment="1">
      <alignment horizontal="center" vertical="center" wrapText="1"/>
    </xf>
    <xf numFmtId="0" fontId="125" fillId="51" borderId="11" xfId="0" applyFont="1" applyFill="1" applyBorder="1" applyAlignment="1">
      <alignment horizontal="center" vertical="center"/>
    </xf>
    <xf numFmtId="0" fontId="125" fillId="51" borderId="11" xfId="0" applyFont="1" applyFill="1" applyBorder="1" applyAlignment="1">
      <alignment vertical="center"/>
    </xf>
    <xf numFmtId="1" fontId="125" fillId="51" borderId="11" xfId="0" applyNumberFormat="1" applyFont="1" applyFill="1" applyBorder="1" applyAlignment="1">
      <alignment vertical="center"/>
    </xf>
    <xf numFmtId="164" fontId="113" fillId="0" borderId="0" xfId="4" applyNumberFormat="1" applyFont="1"/>
    <xf numFmtId="0" fontId="41" fillId="0" borderId="0" xfId="0" quotePrefix="1" applyFont="1"/>
    <xf numFmtId="2" fontId="40" fillId="0" borderId="11" xfId="0" applyNumberFormat="1" applyFont="1" applyBorder="1" applyAlignment="1">
      <alignment horizontal="center"/>
    </xf>
    <xf numFmtId="0" fontId="117" fillId="0" borderId="10" xfId="5388" applyBorder="1" applyAlignment="1">
      <alignment horizontal="left" vertical="top" wrapText="1" indent="2"/>
    </xf>
    <xf numFmtId="0" fontId="117" fillId="0" borderId="78" xfId="5388" applyBorder="1" applyAlignment="1">
      <alignment horizontal="left" vertical="top" wrapText="1" indent="2"/>
    </xf>
    <xf numFmtId="0" fontId="117" fillId="0" borderId="35" xfId="5388" applyBorder="1" applyAlignment="1">
      <alignment horizontal="left" vertical="top" wrapText="1" indent="2"/>
    </xf>
    <xf numFmtId="0" fontId="117" fillId="0" borderId="0" xfId="5388" applyAlignment="1">
      <alignment horizontal="left" vertical="top" wrapText="1"/>
    </xf>
    <xf numFmtId="0" fontId="121" fillId="0" borderId="10" xfId="5388" applyFont="1" applyBorder="1" applyAlignment="1">
      <alignment horizontal="left" wrapText="1"/>
    </xf>
    <xf numFmtId="0" fontId="121" fillId="0" borderId="79" xfId="5388" applyFont="1" applyBorder="1" applyAlignment="1">
      <alignment horizontal="left" wrapText="1"/>
    </xf>
    <xf numFmtId="0" fontId="117" fillId="0" borderId="10" xfId="5388" applyBorder="1" applyAlignment="1">
      <alignment horizontal="left" wrapText="1"/>
    </xf>
    <xf numFmtId="0" fontId="117" fillId="0" borderId="79" xfId="5388" applyBorder="1" applyAlignment="1">
      <alignment horizontal="left" wrapText="1"/>
    </xf>
    <xf numFmtId="1" fontId="122" fillId="0" borderId="10" xfId="5388" applyNumberFormat="1" applyFont="1" applyBorder="1" applyAlignment="1">
      <alignment horizontal="left" shrinkToFit="1"/>
    </xf>
    <xf numFmtId="1" fontId="122" fillId="0" borderId="79" xfId="5388" applyNumberFormat="1" applyFont="1" applyBorder="1" applyAlignment="1">
      <alignment horizontal="left" shrinkToFit="1"/>
    </xf>
    <xf numFmtId="179" fontId="122" fillId="0" borderId="10" xfId="5388" applyNumberFormat="1" applyFont="1" applyBorder="1" applyAlignment="1">
      <alignment horizontal="left" shrinkToFit="1"/>
    </xf>
    <xf numFmtId="179" fontId="122" fillId="0" borderId="79" xfId="5388" applyNumberFormat="1" applyFont="1" applyBorder="1" applyAlignment="1">
      <alignment horizontal="left" shrinkToFit="1"/>
    </xf>
    <xf numFmtId="0" fontId="121" fillId="0" borderId="82" xfId="5388" applyFont="1" applyBorder="1" applyAlignment="1">
      <alignment horizontal="left" wrapText="1"/>
    </xf>
    <xf numFmtId="0" fontId="121" fillId="0" borderId="51" xfId="5388" applyFont="1" applyBorder="1" applyAlignment="1">
      <alignment horizontal="left" wrapText="1"/>
    </xf>
    <xf numFmtId="0" fontId="118" fillId="0" borderId="0" xfId="5388" applyFont="1" applyAlignment="1">
      <alignment horizontal="left" vertical="top" wrapText="1"/>
    </xf>
    <xf numFmtId="0" fontId="118" fillId="0" borderId="0" xfId="5388" applyFont="1" applyAlignment="1">
      <alignment horizontal="center" vertical="top" wrapText="1"/>
    </xf>
    <xf numFmtId="164" fontId="122" fillId="0" borderId="10" xfId="2326" applyFont="1" applyFill="1" applyBorder="1" applyAlignment="1">
      <alignment horizontal="right" shrinkToFit="1"/>
    </xf>
    <xf numFmtId="164" fontId="122" fillId="0" borderId="79" xfId="2326" applyFont="1" applyFill="1" applyBorder="1" applyAlignment="1">
      <alignment horizontal="right" shrinkToFit="1"/>
    </xf>
    <xf numFmtId="0" fontId="121" fillId="0" borderId="77" xfId="5388" applyFont="1" applyBorder="1" applyAlignment="1">
      <alignment horizontal="left" wrapText="1"/>
    </xf>
    <xf numFmtId="0" fontId="121" fillId="0" borderId="78" xfId="5388" applyFont="1" applyBorder="1" applyAlignment="1">
      <alignment horizontal="left" wrapText="1"/>
    </xf>
    <xf numFmtId="0" fontId="117" fillId="0" borderId="74" xfId="5388" applyBorder="1" applyAlignment="1">
      <alignment horizontal="center" vertical="top" wrapText="1"/>
    </xf>
    <xf numFmtId="0" fontId="117" fillId="0" borderId="75" xfId="5388" applyBorder="1" applyAlignment="1">
      <alignment horizontal="center" vertical="top" wrapText="1"/>
    </xf>
    <xf numFmtId="0" fontId="117" fillId="0" borderId="76" xfId="5388" applyBorder="1" applyAlignment="1">
      <alignment horizontal="center" vertical="top" wrapText="1"/>
    </xf>
    <xf numFmtId="0" fontId="117" fillId="0" borderId="77" xfId="5388" applyBorder="1" applyAlignment="1">
      <alignment horizontal="left" vertical="top" wrapText="1"/>
    </xf>
    <xf numFmtId="0" fontId="117" fillId="0" borderId="78" xfId="5388" applyBorder="1" applyAlignment="1">
      <alignment horizontal="left" vertical="top" wrapText="1"/>
    </xf>
    <xf numFmtId="0" fontId="117" fillId="0" borderId="79" xfId="5388" applyBorder="1" applyAlignment="1">
      <alignment horizontal="left" vertical="top" wrapText="1"/>
    </xf>
    <xf numFmtId="0" fontId="118" fillId="0" borderId="77" xfId="5388" applyFont="1" applyBorder="1" applyAlignment="1">
      <alignment horizontal="left" vertical="top" wrapText="1"/>
    </xf>
    <xf numFmtId="0" fontId="117" fillId="0" borderId="78" xfId="5388" applyBorder="1" applyAlignment="1">
      <alignment horizontal="left" vertical="top"/>
    </xf>
    <xf numFmtId="0" fontId="117" fillId="0" borderId="79" xfId="5388" applyBorder="1" applyAlignment="1">
      <alignment horizontal="left" vertical="top"/>
    </xf>
    <xf numFmtId="0" fontId="117" fillId="0" borderId="19" xfId="5388" applyBorder="1" applyAlignment="1">
      <alignment horizontal="left" vertical="top" wrapText="1"/>
    </xf>
    <xf numFmtId="0" fontId="117" fillId="0" borderId="18" xfId="5388" applyBorder="1" applyAlignment="1">
      <alignment horizontal="left" vertical="top" wrapText="1"/>
    </xf>
    <xf numFmtId="0" fontId="117" fillId="0" borderId="19" xfId="5388" applyBorder="1" applyAlignment="1">
      <alignment horizontal="center" vertical="top" wrapText="1"/>
    </xf>
    <xf numFmtId="0" fontId="117" fillId="0" borderId="0" xfId="5388" applyAlignment="1">
      <alignment horizontal="center" vertical="top" wrapText="1"/>
    </xf>
    <xf numFmtId="0" fontId="117" fillId="0" borderId="18" xfId="5388" applyBorder="1" applyAlignment="1">
      <alignment horizontal="center" vertical="top" wrapText="1"/>
    </xf>
    <xf numFmtId="0" fontId="36" fillId="0" borderId="0" xfId="0" applyFont="1" applyAlignment="1">
      <alignment horizontal="left"/>
    </xf>
    <xf numFmtId="0" fontId="37" fillId="0" borderId="11" xfId="0" applyFont="1" applyBorder="1" applyAlignment="1">
      <alignment horizontal="center" vertical="center" wrapText="1"/>
    </xf>
    <xf numFmtId="14" fontId="37" fillId="0" borderId="9" xfId="0" applyNumberFormat="1" applyFont="1" applyBorder="1" applyAlignment="1">
      <alignment horizontal="center" vertical="top" wrapText="1"/>
    </xf>
    <xf numFmtId="14" fontId="37" fillId="0" borderId="12" xfId="0" applyNumberFormat="1" applyFont="1" applyBorder="1" applyAlignment="1">
      <alignment horizontal="center" vertical="top" wrapText="1"/>
    </xf>
    <xf numFmtId="0" fontId="37" fillId="0" borderId="22" xfId="0" applyFont="1" applyBorder="1" applyAlignment="1">
      <alignment horizontal="center" vertical="top" wrapText="1"/>
    </xf>
    <xf numFmtId="0" fontId="37" fillId="0" borderId="18" xfId="0" applyFont="1" applyBorder="1" applyAlignment="1">
      <alignment horizontal="center" vertical="top" wrapText="1"/>
    </xf>
    <xf numFmtId="0" fontId="37" fillId="0" borderId="24" xfId="0" applyFont="1" applyBorder="1" applyAlignment="1">
      <alignment horizontal="left" vertical="top" wrapText="1"/>
    </xf>
    <xf numFmtId="0" fontId="37" fillId="0" borderId="20" xfId="0" applyFont="1" applyBorder="1" applyAlignment="1">
      <alignment horizontal="left" vertical="top" wrapText="1"/>
    </xf>
    <xf numFmtId="0" fontId="35" fillId="0" borderId="19" xfId="0" applyFont="1" applyBorder="1" applyAlignment="1">
      <alignment horizontal="center" vertical="top" wrapText="1"/>
    </xf>
    <xf numFmtId="0" fontId="35" fillId="0" borderId="0" xfId="0" applyFont="1" applyAlignment="1">
      <alignment horizontal="center" vertical="top" wrapText="1"/>
    </xf>
    <xf numFmtId="0" fontId="35" fillId="0" borderId="18" xfId="0" applyFont="1" applyBorder="1" applyAlignment="1">
      <alignment horizontal="center" vertical="top" wrapText="1"/>
    </xf>
    <xf numFmtId="0" fontId="35" fillId="0" borderId="19" xfId="0" applyFont="1" applyBorder="1" applyAlignment="1">
      <alignment horizontal="center" vertical="center" wrapText="1"/>
    </xf>
    <xf numFmtId="0" fontId="35" fillId="0" borderId="0" xfId="0" applyFont="1" applyAlignment="1">
      <alignment horizontal="center" vertical="center" wrapText="1"/>
    </xf>
    <xf numFmtId="0" fontId="35" fillId="0" borderId="18" xfId="0" applyFont="1" applyBorder="1" applyAlignment="1">
      <alignment horizontal="center" vertical="center" wrapText="1"/>
    </xf>
    <xf numFmtId="0" fontId="39" fillId="0" borderId="15" xfId="0" applyFont="1" applyBorder="1" applyAlignment="1">
      <alignment horizontal="center" vertical="top" wrapText="1"/>
    </xf>
    <xf numFmtId="0" fontId="37" fillId="0" borderId="6" xfId="0" applyFont="1" applyBorder="1" applyAlignment="1">
      <alignment horizontal="center" vertical="top" wrapText="1"/>
    </xf>
    <xf numFmtId="0" fontId="37" fillId="0" borderId="23" xfId="0" applyFont="1" applyBorder="1" applyAlignment="1">
      <alignment horizontal="center" vertical="top" wrapText="1"/>
    </xf>
    <xf numFmtId="0" fontId="37" fillId="0" borderId="4" xfId="0" applyFont="1" applyBorder="1" applyAlignment="1">
      <alignment horizontal="left" vertical="top" wrapText="1"/>
    </xf>
    <xf numFmtId="0" fontId="37" fillId="0" borderId="0" xfId="0" applyFont="1" applyAlignment="1">
      <alignment horizontal="left" vertical="top" wrapText="1"/>
    </xf>
    <xf numFmtId="0" fontId="35" fillId="0" borderId="0" xfId="0" applyFont="1" applyAlignment="1">
      <alignment horizontal="center"/>
    </xf>
    <xf numFmtId="0" fontId="37" fillId="0" borderId="0" xfId="0" applyFont="1" applyAlignment="1">
      <alignment horizontal="center"/>
    </xf>
    <xf numFmtId="0" fontId="37" fillId="0" borderId="0" xfId="0" applyFont="1" applyAlignment="1">
      <alignment horizontal="center" vertical="top"/>
    </xf>
    <xf numFmtId="0" fontId="37" fillId="0" borderId="21" xfId="0" applyFont="1" applyBorder="1" applyAlignment="1">
      <alignment horizontal="center" vertical="center" wrapText="1"/>
    </xf>
    <xf numFmtId="0" fontId="37" fillId="0" borderId="26" xfId="0" applyFont="1" applyBorder="1" applyAlignment="1">
      <alignment horizontal="center" vertical="center" wrapText="1"/>
    </xf>
    <xf numFmtId="0" fontId="37" fillId="0" borderId="22" xfId="0" applyFont="1" applyBorder="1" applyAlignment="1">
      <alignment horizontal="center" vertical="center" wrapText="1"/>
    </xf>
    <xf numFmtId="0" fontId="40" fillId="0" borderId="0" xfId="0" applyFont="1" applyAlignment="1">
      <alignment horizontal="left" vertical="top" wrapText="1" readingOrder="1"/>
    </xf>
    <xf numFmtId="0" fontId="40" fillId="0" borderId="5" xfId="0" applyFont="1" applyBorder="1" applyAlignment="1">
      <alignment horizontal="left" vertical="top" wrapText="1" readingOrder="1"/>
    </xf>
    <xf numFmtId="0" fontId="36" fillId="0" borderId="0" xfId="0" applyFont="1" applyAlignment="1">
      <alignment horizontal="left" vertical="center"/>
    </xf>
    <xf numFmtId="0" fontId="36" fillId="0" borderId="13" xfId="0" applyFont="1" applyBorder="1" applyAlignment="1">
      <alignment horizontal="left" vertical="center"/>
    </xf>
    <xf numFmtId="0" fontId="36" fillId="0" borderId="39" xfId="0" applyFont="1" applyBorder="1" applyAlignment="1">
      <alignment horizontal="left" vertical="top" wrapText="1"/>
    </xf>
    <xf numFmtId="0" fontId="36" fillId="0" borderId="40" xfId="0" applyFont="1" applyBorder="1" applyAlignment="1">
      <alignment horizontal="left" vertical="top" wrapText="1"/>
    </xf>
    <xf numFmtId="0" fontId="36" fillId="0" borderId="41" xfId="0" applyFont="1" applyBorder="1" applyAlignment="1">
      <alignment horizontal="center" vertical="top" wrapText="1"/>
    </xf>
    <xf numFmtId="0" fontId="36" fillId="0" borderId="29" xfId="0" applyFont="1" applyBorder="1" applyAlignment="1">
      <alignment horizontal="center" vertical="top" wrapText="1"/>
    </xf>
    <xf numFmtId="0" fontId="36" fillId="0" borderId="46" xfId="0" applyFont="1" applyBorder="1" applyAlignment="1">
      <alignment horizontal="center" vertical="top" wrapText="1"/>
    </xf>
    <xf numFmtId="0" fontId="36" fillId="0" borderId="47" xfId="0" applyFont="1" applyBorder="1" applyAlignment="1">
      <alignment horizontal="center" vertical="top" wrapText="1"/>
    </xf>
    <xf numFmtId="0" fontId="114" fillId="0" borderId="41" xfId="0" applyFont="1" applyBorder="1" applyAlignment="1">
      <alignment horizontal="center" vertical="center" wrapText="1"/>
    </xf>
    <xf numFmtId="0" fontId="114" fillId="0" borderId="29" xfId="0" applyFont="1" applyBorder="1" applyAlignment="1">
      <alignment horizontal="center" vertical="center" wrapText="1"/>
    </xf>
    <xf numFmtId="0" fontId="37" fillId="0" borderId="48" xfId="0" applyFont="1" applyBorder="1" applyAlignment="1">
      <alignment horizontal="center" vertical="center" wrapText="1"/>
    </xf>
    <xf numFmtId="0" fontId="37" fillId="0" borderId="49" xfId="0" applyFont="1" applyBorder="1" applyAlignment="1">
      <alignment horizontal="center" vertical="center" wrapText="1"/>
    </xf>
    <xf numFmtId="0" fontId="36" fillId="0" borderId="48" xfId="0" applyFont="1" applyBorder="1" applyAlignment="1">
      <alignment horizontal="center" vertical="top" wrapText="1"/>
    </xf>
    <xf numFmtId="0" fontId="36" fillId="0" borderId="49" xfId="0" applyFont="1" applyBorder="1" applyAlignment="1">
      <alignment horizontal="center" vertical="top" wrapText="1"/>
    </xf>
    <xf numFmtId="0" fontId="36" fillId="0" borderId="50" xfId="0" applyFont="1" applyBorder="1" applyAlignment="1">
      <alignment horizontal="center" vertical="center" wrapText="1"/>
    </xf>
    <xf numFmtId="0" fontId="36" fillId="0" borderId="51" xfId="0" applyFont="1" applyBorder="1" applyAlignment="1">
      <alignment horizontal="center" vertical="center" wrapText="1"/>
    </xf>
    <xf numFmtId="0" fontId="37" fillId="0" borderId="46" xfId="0" applyFont="1" applyBorder="1" applyAlignment="1">
      <alignment horizontal="center" vertical="center" wrapText="1"/>
    </xf>
    <xf numFmtId="0" fontId="37" fillId="0" borderId="47" xfId="0" applyFont="1" applyBorder="1" applyAlignment="1">
      <alignment horizontal="center" vertical="center" wrapText="1"/>
    </xf>
    <xf numFmtId="0" fontId="36" fillId="0" borderId="32" xfId="0" applyFont="1" applyBorder="1" applyAlignment="1">
      <alignment horizontal="center" vertical="top" wrapText="1"/>
    </xf>
    <xf numFmtId="0" fontId="36" fillId="0" borderId="33" xfId="0" applyFont="1" applyBorder="1" applyAlignment="1">
      <alignment horizontal="center" vertical="top" wrapText="1"/>
    </xf>
    <xf numFmtId="0" fontId="36" fillId="0" borderId="34" xfId="0" applyFont="1" applyBorder="1" applyAlignment="1">
      <alignment horizontal="center" vertical="top" wrapText="1"/>
    </xf>
    <xf numFmtId="0" fontId="37" fillId="0" borderId="15" xfId="0" applyFont="1" applyBorder="1" applyAlignment="1">
      <alignment horizontal="left" vertical="center" wrapText="1"/>
    </xf>
    <xf numFmtId="0" fontId="37" fillId="0" borderId="6" xfId="0" applyFont="1" applyBorder="1" applyAlignment="1">
      <alignment horizontal="left" vertical="center" wrapText="1"/>
    </xf>
    <xf numFmtId="0" fontId="37" fillId="0" borderId="23" xfId="0" applyFont="1" applyBorder="1" applyAlignment="1">
      <alignment horizontal="left" vertical="center" wrapText="1"/>
    </xf>
    <xf numFmtId="0" fontId="37" fillId="0" borderId="19" xfId="0" applyFont="1" applyBorder="1" applyAlignment="1">
      <alignment horizontal="left" vertical="top" wrapText="1"/>
    </xf>
    <xf numFmtId="0" fontId="37" fillId="0" borderId="18" xfId="0" applyFont="1" applyBorder="1" applyAlignment="1">
      <alignment horizontal="left" vertical="top" wrapText="1"/>
    </xf>
    <xf numFmtId="0" fontId="36" fillId="0" borderId="30" xfId="0" applyFont="1" applyBorder="1" applyAlignment="1">
      <alignment horizontal="left" vertical="top" wrapText="1"/>
    </xf>
    <xf numFmtId="0" fontId="36" fillId="0" borderId="45" xfId="0" applyFont="1" applyBorder="1" applyAlignment="1">
      <alignment horizontal="left" vertical="top" wrapText="1"/>
    </xf>
    <xf numFmtId="0" fontId="36" fillId="0" borderId="31" xfId="0" applyFont="1" applyBorder="1" applyAlignment="1">
      <alignment horizontal="left" vertical="top" wrapText="1"/>
    </xf>
    <xf numFmtId="0" fontId="37" fillId="0" borderId="21" xfId="0" applyFont="1" applyBorder="1" applyAlignment="1">
      <alignment horizontal="left" vertical="top" wrapText="1"/>
    </xf>
    <xf numFmtId="0" fontId="37" fillId="0" borderId="17" xfId="0" applyFont="1" applyBorder="1" applyAlignment="1">
      <alignment horizontal="center" vertical="top" wrapText="1"/>
    </xf>
    <xf numFmtId="0" fontId="37" fillId="0" borderId="14" xfId="0" applyFont="1" applyBorder="1" applyAlignment="1">
      <alignment horizontal="left" vertical="top" wrapText="1"/>
    </xf>
    <xf numFmtId="0" fontId="37" fillId="0" borderId="15" xfId="0" applyFont="1" applyBorder="1" applyAlignment="1">
      <alignment horizontal="left" vertical="top" wrapText="1"/>
    </xf>
    <xf numFmtId="14" fontId="36" fillId="0" borderId="16" xfId="0" applyNumberFormat="1" applyFont="1" applyBorder="1" applyAlignment="1">
      <alignment horizontal="center" vertical="top" wrapText="1"/>
    </xf>
    <xf numFmtId="0" fontId="36" fillId="0" borderId="17" xfId="0" applyFont="1" applyBorder="1" applyAlignment="1">
      <alignment horizontal="center" vertical="top" wrapText="1"/>
    </xf>
    <xf numFmtId="0" fontId="36" fillId="0" borderId="20" xfId="0" applyFont="1" applyBorder="1" applyAlignment="1">
      <alignment horizontal="center" vertical="top" wrapText="1"/>
    </xf>
    <xf numFmtId="0" fontId="36" fillId="0" borderId="39" xfId="0" applyFont="1" applyBorder="1" applyAlignment="1">
      <alignment horizontal="center" vertical="top" wrapText="1"/>
    </xf>
    <xf numFmtId="0" fontId="36" fillId="0" borderId="40" xfId="0" applyFont="1" applyBorder="1" applyAlignment="1">
      <alignment horizontal="center" vertical="top" wrapText="1"/>
    </xf>
    <xf numFmtId="172" fontId="36" fillId="0" borderId="39" xfId="0" applyNumberFormat="1" applyFont="1" applyBorder="1" applyAlignment="1">
      <alignment horizontal="center" vertical="top" wrapText="1"/>
    </xf>
    <xf numFmtId="0" fontId="36" fillId="0" borderId="39" xfId="0" applyFont="1" applyBorder="1" applyAlignment="1">
      <alignment horizontal="left"/>
    </xf>
    <xf numFmtId="0" fontId="36" fillId="0" borderId="40" xfId="0" applyFont="1" applyBorder="1" applyAlignment="1">
      <alignment horizontal="left"/>
    </xf>
    <xf numFmtId="0" fontId="37" fillId="0" borderId="38" xfId="0" applyFont="1" applyBorder="1" applyAlignment="1">
      <alignment horizontal="center" vertical="center" wrapText="1"/>
    </xf>
    <xf numFmtId="0" fontId="37" fillId="0" borderId="23" xfId="0" applyFont="1" applyBorder="1" applyAlignment="1">
      <alignment horizontal="center" vertical="center" wrapText="1"/>
    </xf>
  </cellXfs>
  <cellStyles count="5393">
    <cellStyle name="_CWIP CAP CHART Nov  2010" xfId="256" xr:uid="{00000000-0005-0000-0000-000000000000}"/>
    <cellStyle name="_CWIP CAP CHART Nov  2010 2" xfId="257" xr:uid="{00000000-0005-0000-0000-000001000000}"/>
    <cellStyle name="_CWIP CAP CHART Nov  2010_Trail Balance" xfId="258" xr:uid="{00000000-0005-0000-0000-000002000000}"/>
    <cellStyle name="_Depreciation CHART and ADDITION SUMMARY" xfId="259" xr:uid="{00000000-0005-0000-0000-000003000000}"/>
    <cellStyle name="_Depreciation CHART and ADDITION SUMMARY 2" xfId="260" xr:uid="{00000000-0005-0000-0000-000004000000}"/>
    <cellStyle name="_Depreciation CHART and ADDITION SUMMARY_Trail Balance" xfId="261" xr:uid="{00000000-0005-0000-0000-000005000000}"/>
    <cellStyle name="_Financials - MERIL - 31st March 2010" xfId="262" xr:uid="{00000000-0005-0000-0000-000006000000}"/>
    <cellStyle name="_Meril- 3CD - Tax Audit FINAL 01 GKA" xfId="263" xr:uid="{00000000-0005-0000-0000-000007000000}"/>
    <cellStyle name="_Meril- 3CD - Tax Audit FINAL 01 GKA 2" xfId="264" xr:uid="{00000000-0005-0000-0000-000008000000}"/>
    <cellStyle name="_Meril- 3CD - Tax Audit FINAL 01 GKA_Trail Balance" xfId="265" xr:uid="{00000000-0005-0000-0000-000009000000}"/>
    <cellStyle name="_Meril Vapi - 3CD - Tax Audit A.Y. 2011-12" xfId="266" xr:uid="{00000000-0005-0000-0000-00000A000000}"/>
    <cellStyle name="_Meril Vapi - 3CD - Tax Audit A.Y. 2011-12 2" xfId="267" xr:uid="{00000000-0005-0000-0000-00000B000000}"/>
    <cellStyle name="20% - Accent1" xfId="230" builtinId="30" customBuiltin="1"/>
    <cellStyle name="20% - Accent1 10" xfId="268" xr:uid="{00000000-0005-0000-0000-00000D000000}"/>
    <cellStyle name="20% - Accent1 11" xfId="269" xr:uid="{00000000-0005-0000-0000-00000E000000}"/>
    <cellStyle name="20% - Accent1 12" xfId="270" xr:uid="{00000000-0005-0000-0000-00000F000000}"/>
    <cellStyle name="20% - Accent1 13" xfId="271" xr:uid="{00000000-0005-0000-0000-000010000000}"/>
    <cellStyle name="20% - Accent1 14" xfId="272" xr:uid="{00000000-0005-0000-0000-000011000000}"/>
    <cellStyle name="20% - Accent1 15" xfId="273" xr:uid="{00000000-0005-0000-0000-000012000000}"/>
    <cellStyle name="20% - Accent1 16" xfId="274" xr:uid="{00000000-0005-0000-0000-000013000000}"/>
    <cellStyle name="20% - Accent1 16 2" xfId="275" xr:uid="{00000000-0005-0000-0000-000014000000}"/>
    <cellStyle name="20% - Accent1 16 2 2" xfId="276" xr:uid="{00000000-0005-0000-0000-000015000000}"/>
    <cellStyle name="20% - Accent1 16 2 2 2" xfId="277" xr:uid="{00000000-0005-0000-0000-000016000000}"/>
    <cellStyle name="20% - Accent1 16 2 2 2 2" xfId="2497" xr:uid="{00000000-0005-0000-0000-000017000000}"/>
    <cellStyle name="20% - Accent1 16 2 2 2 2 2" xfId="4375" xr:uid="{00000000-0005-0000-0000-000018000000}"/>
    <cellStyle name="20% - Accent1 16 2 2 2 3" xfId="3689" xr:uid="{00000000-0005-0000-0000-000019000000}"/>
    <cellStyle name="20% - Accent1 16 2 2 3" xfId="2496" xr:uid="{00000000-0005-0000-0000-00001A000000}"/>
    <cellStyle name="20% - Accent1 16 2 2 3 2" xfId="4374" xr:uid="{00000000-0005-0000-0000-00001B000000}"/>
    <cellStyle name="20% - Accent1 16 2 2 4" xfId="3688" xr:uid="{00000000-0005-0000-0000-00001C000000}"/>
    <cellStyle name="20% - Accent1 16 2 3" xfId="278" xr:uid="{00000000-0005-0000-0000-00001D000000}"/>
    <cellStyle name="20% - Accent1 16 2 3 2" xfId="279" xr:uid="{00000000-0005-0000-0000-00001E000000}"/>
    <cellStyle name="20% - Accent1 16 2 3 2 2" xfId="2499" xr:uid="{00000000-0005-0000-0000-00001F000000}"/>
    <cellStyle name="20% - Accent1 16 2 3 2 2 2" xfId="4377" xr:uid="{00000000-0005-0000-0000-000020000000}"/>
    <cellStyle name="20% - Accent1 16 2 3 2 3" xfId="3691" xr:uid="{00000000-0005-0000-0000-000021000000}"/>
    <cellStyle name="20% - Accent1 16 2 3 3" xfId="2498" xr:uid="{00000000-0005-0000-0000-000022000000}"/>
    <cellStyle name="20% - Accent1 16 2 3 3 2" xfId="4376" xr:uid="{00000000-0005-0000-0000-000023000000}"/>
    <cellStyle name="20% - Accent1 16 2 3 4" xfId="3690" xr:uid="{00000000-0005-0000-0000-000024000000}"/>
    <cellStyle name="20% - Accent1 16 2 4" xfId="280" xr:uid="{00000000-0005-0000-0000-000025000000}"/>
    <cellStyle name="20% - Accent1 16 2 4 2" xfId="281" xr:uid="{00000000-0005-0000-0000-000026000000}"/>
    <cellStyle name="20% - Accent1 16 2 4 2 2" xfId="2501" xr:uid="{00000000-0005-0000-0000-000027000000}"/>
    <cellStyle name="20% - Accent1 16 2 4 2 2 2" xfId="4379" xr:uid="{00000000-0005-0000-0000-000028000000}"/>
    <cellStyle name="20% - Accent1 16 2 4 2 3" xfId="3693" xr:uid="{00000000-0005-0000-0000-000029000000}"/>
    <cellStyle name="20% - Accent1 16 2 4 3" xfId="2500" xr:uid="{00000000-0005-0000-0000-00002A000000}"/>
    <cellStyle name="20% - Accent1 16 2 4 3 2" xfId="4378" xr:uid="{00000000-0005-0000-0000-00002B000000}"/>
    <cellStyle name="20% - Accent1 16 2 4 4" xfId="3692" xr:uid="{00000000-0005-0000-0000-00002C000000}"/>
    <cellStyle name="20% - Accent1 16 2 5" xfId="282" xr:uid="{00000000-0005-0000-0000-00002D000000}"/>
    <cellStyle name="20% - Accent1 16 2 5 2" xfId="2502" xr:uid="{00000000-0005-0000-0000-00002E000000}"/>
    <cellStyle name="20% - Accent1 16 2 5 2 2" xfId="4380" xr:uid="{00000000-0005-0000-0000-00002F000000}"/>
    <cellStyle name="20% - Accent1 16 2 5 3" xfId="3694" xr:uid="{00000000-0005-0000-0000-000030000000}"/>
    <cellStyle name="20% - Accent1 16 2 6" xfId="2240" xr:uid="{00000000-0005-0000-0000-000031000000}"/>
    <cellStyle name="20% - Accent1 16 2 6 2" xfId="2954" xr:uid="{00000000-0005-0000-0000-000032000000}"/>
    <cellStyle name="20% - Accent1 16 2 6 2 2" xfId="4829" xr:uid="{00000000-0005-0000-0000-000033000000}"/>
    <cellStyle name="20% - Accent1 16 2 6 3" xfId="4142" xr:uid="{00000000-0005-0000-0000-000034000000}"/>
    <cellStyle name="20% - Accent1 16 2 7" xfId="2495" xr:uid="{00000000-0005-0000-0000-000035000000}"/>
    <cellStyle name="20% - Accent1 16 2 7 2" xfId="4373" xr:uid="{00000000-0005-0000-0000-000036000000}"/>
    <cellStyle name="20% - Accent1 16 2 8" xfId="3687" xr:uid="{00000000-0005-0000-0000-000037000000}"/>
    <cellStyle name="20% - Accent1 16 3" xfId="283" xr:uid="{00000000-0005-0000-0000-000038000000}"/>
    <cellStyle name="20% - Accent1 16 3 2" xfId="284" xr:uid="{00000000-0005-0000-0000-000039000000}"/>
    <cellStyle name="20% - Accent1 16 3 2 2" xfId="2504" xr:uid="{00000000-0005-0000-0000-00003A000000}"/>
    <cellStyle name="20% - Accent1 16 3 2 2 2" xfId="4382" xr:uid="{00000000-0005-0000-0000-00003B000000}"/>
    <cellStyle name="20% - Accent1 16 3 2 3" xfId="3696" xr:uid="{00000000-0005-0000-0000-00003C000000}"/>
    <cellStyle name="20% - Accent1 16 3 3" xfId="2503" xr:uid="{00000000-0005-0000-0000-00003D000000}"/>
    <cellStyle name="20% - Accent1 16 3 3 2" xfId="4381" xr:uid="{00000000-0005-0000-0000-00003E000000}"/>
    <cellStyle name="20% - Accent1 16 3 4" xfId="3695" xr:uid="{00000000-0005-0000-0000-00003F000000}"/>
    <cellStyle name="20% - Accent1 16 4" xfId="285" xr:uid="{00000000-0005-0000-0000-000040000000}"/>
    <cellStyle name="20% - Accent1 16 4 2" xfId="286" xr:uid="{00000000-0005-0000-0000-000041000000}"/>
    <cellStyle name="20% - Accent1 16 4 2 2" xfId="2506" xr:uid="{00000000-0005-0000-0000-000042000000}"/>
    <cellStyle name="20% - Accent1 16 4 2 2 2" xfId="4384" xr:uid="{00000000-0005-0000-0000-000043000000}"/>
    <cellStyle name="20% - Accent1 16 4 2 3" xfId="3698" xr:uid="{00000000-0005-0000-0000-000044000000}"/>
    <cellStyle name="20% - Accent1 16 4 3" xfId="2505" xr:uid="{00000000-0005-0000-0000-000045000000}"/>
    <cellStyle name="20% - Accent1 16 4 3 2" xfId="4383" xr:uid="{00000000-0005-0000-0000-000046000000}"/>
    <cellStyle name="20% - Accent1 16 4 4" xfId="3697" xr:uid="{00000000-0005-0000-0000-000047000000}"/>
    <cellStyle name="20% - Accent1 16 5" xfId="287" xr:uid="{00000000-0005-0000-0000-000048000000}"/>
    <cellStyle name="20% - Accent1 16 5 2" xfId="288" xr:uid="{00000000-0005-0000-0000-000049000000}"/>
    <cellStyle name="20% - Accent1 16 5 2 2" xfId="2508" xr:uid="{00000000-0005-0000-0000-00004A000000}"/>
    <cellStyle name="20% - Accent1 16 5 2 2 2" xfId="4386" xr:uid="{00000000-0005-0000-0000-00004B000000}"/>
    <cellStyle name="20% - Accent1 16 5 2 3" xfId="3700" xr:uid="{00000000-0005-0000-0000-00004C000000}"/>
    <cellStyle name="20% - Accent1 16 5 3" xfId="2507" xr:uid="{00000000-0005-0000-0000-00004D000000}"/>
    <cellStyle name="20% - Accent1 16 5 3 2" xfId="4385" xr:uid="{00000000-0005-0000-0000-00004E000000}"/>
    <cellStyle name="20% - Accent1 16 5 4" xfId="3699" xr:uid="{00000000-0005-0000-0000-00004F000000}"/>
    <cellStyle name="20% - Accent1 16 6" xfId="289" xr:uid="{00000000-0005-0000-0000-000050000000}"/>
    <cellStyle name="20% - Accent1 16 6 2" xfId="2509" xr:uid="{00000000-0005-0000-0000-000051000000}"/>
    <cellStyle name="20% - Accent1 16 6 2 2" xfId="4387" xr:uid="{00000000-0005-0000-0000-000052000000}"/>
    <cellStyle name="20% - Accent1 16 6 3" xfId="3701" xr:uid="{00000000-0005-0000-0000-000053000000}"/>
    <cellStyle name="20% - Accent1 16 7" xfId="2214" xr:uid="{00000000-0005-0000-0000-000054000000}"/>
    <cellStyle name="20% - Accent1 16 7 2" xfId="2928" xr:uid="{00000000-0005-0000-0000-000055000000}"/>
    <cellStyle name="20% - Accent1 16 7 2 2" xfId="4803" xr:uid="{00000000-0005-0000-0000-000056000000}"/>
    <cellStyle name="20% - Accent1 16 7 3" xfId="4116" xr:uid="{00000000-0005-0000-0000-000057000000}"/>
    <cellStyle name="20% - Accent1 16 8" xfId="2494" xr:uid="{00000000-0005-0000-0000-000058000000}"/>
    <cellStyle name="20% - Accent1 16 8 2" xfId="4372" xr:uid="{00000000-0005-0000-0000-000059000000}"/>
    <cellStyle name="20% - Accent1 16 9" xfId="3686" xr:uid="{00000000-0005-0000-0000-00005A000000}"/>
    <cellStyle name="20% - Accent1 17" xfId="290" xr:uid="{00000000-0005-0000-0000-00005B000000}"/>
    <cellStyle name="20% - Accent1 18" xfId="291" xr:uid="{00000000-0005-0000-0000-00005C000000}"/>
    <cellStyle name="20% - Accent1 19" xfId="292" xr:uid="{00000000-0005-0000-0000-00005D000000}"/>
    <cellStyle name="20% - Accent1 2" xfId="293" xr:uid="{00000000-0005-0000-0000-00005E000000}"/>
    <cellStyle name="20% - Accent1 2 2" xfId="294" xr:uid="{00000000-0005-0000-0000-00005F000000}"/>
    <cellStyle name="20% - Accent1 2 3" xfId="295" xr:uid="{00000000-0005-0000-0000-000060000000}"/>
    <cellStyle name="20% - Accent1 2 4" xfId="296" xr:uid="{00000000-0005-0000-0000-000061000000}"/>
    <cellStyle name="20% - Accent1 2 5" xfId="297" xr:uid="{00000000-0005-0000-0000-000062000000}"/>
    <cellStyle name="20% - Accent1 20" xfId="298" xr:uid="{00000000-0005-0000-0000-000063000000}"/>
    <cellStyle name="20% - Accent1 21" xfId="299" xr:uid="{00000000-0005-0000-0000-000064000000}"/>
    <cellStyle name="20% - Accent1 21 2" xfId="300" xr:uid="{00000000-0005-0000-0000-000065000000}"/>
    <cellStyle name="20% - Accent1 21 2 2" xfId="301" xr:uid="{00000000-0005-0000-0000-000066000000}"/>
    <cellStyle name="20% - Accent1 21 2 2 2" xfId="2512" xr:uid="{00000000-0005-0000-0000-000067000000}"/>
    <cellStyle name="20% - Accent1 21 2 2 2 2" xfId="4390" xr:uid="{00000000-0005-0000-0000-000068000000}"/>
    <cellStyle name="20% - Accent1 21 2 2 3" xfId="3704" xr:uid="{00000000-0005-0000-0000-000069000000}"/>
    <cellStyle name="20% - Accent1 21 2 3" xfId="2511" xr:uid="{00000000-0005-0000-0000-00006A000000}"/>
    <cellStyle name="20% - Accent1 21 2 3 2" xfId="4389" xr:uid="{00000000-0005-0000-0000-00006B000000}"/>
    <cellStyle name="20% - Accent1 21 2 4" xfId="3703" xr:uid="{00000000-0005-0000-0000-00006C000000}"/>
    <cellStyle name="20% - Accent1 21 3" xfId="302" xr:uid="{00000000-0005-0000-0000-00006D000000}"/>
    <cellStyle name="20% - Accent1 21 3 2" xfId="303" xr:uid="{00000000-0005-0000-0000-00006E000000}"/>
    <cellStyle name="20% - Accent1 21 3 2 2" xfId="2514" xr:uid="{00000000-0005-0000-0000-00006F000000}"/>
    <cellStyle name="20% - Accent1 21 3 2 2 2" xfId="4392" xr:uid="{00000000-0005-0000-0000-000070000000}"/>
    <cellStyle name="20% - Accent1 21 3 2 3" xfId="3706" xr:uid="{00000000-0005-0000-0000-000071000000}"/>
    <cellStyle name="20% - Accent1 21 3 3" xfId="2513" xr:uid="{00000000-0005-0000-0000-000072000000}"/>
    <cellStyle name="20% - Accent1 21 3 3 2" xfId="4391" xr:uid="{00000000-0005-0000-0000-000073000000}"/>
    <cellStyle name="20% - Accent1 21 3 4" xfId="3705" xr:uid="{00000000-0005-0000-0000-000074000000}"/>
    <cellStyle name="20% - Accent1 21 4" xfId="304" xr:uid="{00000000-0005-0000-0000-000075000000}"/>
    <cellStyle name="20% - Accent1 21 4 2" xfId="305" xr:uid="{00000000-0005-0000-0000-000076000000}"/>
    <cellStyle name="20% - Accent1 21 4 2 2" xfId="2516" xr:uid="{00000000-0005-0000-0000-000077000000}"/>
    <cellStyle name="20% - Accent1 21 4 2 2 2" xfId="4394" xr:uid="{00000000-0005-0000-0000-000078000000}"/>
    <cellStyle name="20% - Accent1 21 4 2 3" xfId="3708" xr:uid="{00000000-0005-0000-0000-000079000000}"/>
    <cellStyle name="20% - Accent1 21 4 3" xfId="2515" xr:uid="{00000000-0005-0000-0000-00007A000000}"/>
    <cellStyle name="20% - Accent1 21 4 3 2" xfId="4393" xr:uid="{00000000-0005-0000-0000-00007B000000}"/>
    <cellStyle name="20% - Accent1 21 4 4" xfId="3707" xr:uid="{00000000-0005-0000-0000-00007C000000}"/>
    <cellStyle name="20% - Accent1 21 5" xfId="306" xr:uid="{00000000-0005-0000-0000-00007D000000}"/>
    <cellStyle name="20% - Accent1 21 5 2" xfId="2517" xr:uid="{00000000-0005-0000-0000-00007E000000}"/>
    <cellStyle name="20% - Accent1 21 5 2 2" xfId="4395" xr:uid="{00000000-0005-0000-0000-00007F000000}"/>
    <cellStyle name="20% - Accent1 21 5 3" xfId="3709" xr:uid="{00000000-0005-0000-0000-000080000000}"/>
    <cellStyle name="20% - Accent1 21 6" xfId="2226" xr:uid="{00000000-0005-0000-0000-000081000000}"/>
    <cellStyle name="20% - Accent1 21 6 2" xfId="2940" xr:uid="{00000000-0005-0000-0000-000082000000}"/>
    <cellStyle name="20% - Accent1 21 6 2 2" xfId="4815" xr:uid="{00000000-0005-0000-0000-000083000000}"/>
    <cellStyle name="20% - Accent1 21 6 3" xfId="4128" xr:uid="{00000000-0005-0000-0000-000084000000}"/>
    <cellStyle name="20% - Accent1 21 7" xfId="2510" xr:uid="{00000000-0005-0000-0000-000085000000}"/>
    <cellStyle name="20% - Accent1 21 7 2" xfId="4388" xr:uid="{00000000-0005-0000-0000-000086000000}"/>
    <cellStyle name="20% - Accent1 21 8" xfId="3702" xr:uid="{00000000-0005-0000-0000-000087000000}"/>
    <cellStyle name="20% - Accent1 22" xfId="307" xr:uid="{00000000-0005-0000-0000-000088000000}"/>
    <cellStyle name="20% - Accent1 22 2" xfId="308" xr:uid="{00000000-0005-0000-0000-000089000000}"/>
    <cellStyle name="20% - Accent1 22 2 2" xfId="2519" xr:uid="{00000000-0005-0000-0000-00008A000000}"/>
    <cellStyle name="20% - Accent1 22 2 2 2" xfId="4397" xr:uid="{00000000-0005-0000-0000-00008B000000}"/>
    <cellStyle name="20% - Accent1 22 2 3" xfId="3711" xr:uid="{00000000-0005-0000-0000-00008C000000}"/>
    <cellStyle name="20% - Accent1 22 3" xfId="2518" xr:uid="{00000000-0005-0000-0000-00008D000000}"/>
    <cellStyle name="20% - Accent1 22 3 2" xfId="4396" xr:uid="{00000000-0005-0000-0000-00008E000000}"/>
    <cellStyle name="20% - Accent1 22 4" xfId="3710" xr:uid="{00000000-0005-0000-0000-00008F000000}"/>
    <cellStyle name="20% - Accent1 23" xfId="309" xr:uid="{00000000-0005-0000-0000-000090000000}"/>
    <cellStyle name="20% - Accent1 23 2" xfId="310" xr:uid="{00000000-0005-0000-0000-000091000000}"/>
    <cellStyle name="20% - Accent1 23 2 2" xfId="2521" xr:uid="{00000000-0005-0000-0000-000092000000}"/>
    <cellStyle name="20% - Accent1 23 2 2 2" xfId="4399" xr:uid="{00000000-0005-0000-0000-000093000000}"/>
    <cellStyle name="20% - Accent1 23 2 3" xfId="3713" xr:uid="{00000000-0005-0000-0000-000094000000}"/>
    <cellStyle name="20% - Accent1 23 3" xfId="2520" xr:uid="{00000000-0005-0000-0000-000095000000}"/>
    <cellStyle name="20% - Accent1 23 3 2" xfId="4398" xr:uid="{00000000-0005-0000-0000-000096000000}"/>
    <cellStyle name="20% - Accent1 23 4" xfId="3712" xr:uid="{00000000-0005-0000-0000-000097000000}"/>
    <cellStyle name="20% - Accent1 24" xfId="311" xr:uid="{00000000-0005-0000-0000-000098000000}"/>
    <cellStyle name="20% - Accent1 24 2" xfId="312" xr:uid="{00000000-0005-0000-0000-000099000000}"/>
    <cellStyle name="20% - Accent1 24 2 2" xfId="2523" xr:uid="{00000000-0005-0000-0000-00009A000000}"/>
    <cellStyle name="20% - Accent1 24 2 2 2" xfId="4401" xr:uid="{00000000-0005-0000-0000-00009B000000}"/>
    <cellStyle name="20% - Accent1 24 2 3" xfId="3715" xr:uid="{00000000-0005-0000-0000-00009C000000}"/>
    <cellStyle name="20% - Accent1 24 3" xfId="2522" xr:uid="{00000000-0005-0000-0000-00009D000000}"/>
    <cellStyle name="20% - Accent1 24 3 2" xfId="4400" xr:uid="{00000000-0005-0000-0000-00009E000000}"/>
    <cellStyle name="20% - Accent1 24 4" xfId="3714" xr:uid="{00000000-0005-0000-0000-00009F000000}"/>
    <cellStyle name="20% - Accent1 25" xfId="313" xr:uid="{00000000-0005-0000-0000-0000A0000000}"/>
    <cellStyle name="20% - Accent1 25 2" xfId="2524" xr:uid="{00000000-0005-0000-0000-0000A1000000}"/>
    <cellStyle name="20% - Accent1 25 2 2" xfId="4402" xr:uid="{00000000-0005-0000-0000-0000A2000000}"/>
    <cellStyle name="20% - Accent1 25 3" xfId="3716" xr:uid="{00000000-0005-0000-0000-0000A3000000}"/>
    <cellStyle name="20% - Accent1 26" xfId="2200" xr:uid="{00000000-0005-0000-0000-0000A4000000}"/>
    <cellStyle name="20% - Accent1 26 2" xfId="2914" xr:uid="{00000000-0005-0000-0000-0000A5000000}"/>
    <cellStyle name="20% - Accent1 26 2 2" xfId="4789" xr:uid="{00000000-0005-0000-0000-0000A6000000}"/>
    <cellStyle name="20% - Accent1 26 3" xfId="4102" xr:uid="{00000000-0005-0000-0000-0000A7000000}"/>
    <cellStyle name="20% - Accent1 27" xfId="2481" xr:uid="{00000000-0005-0000-0000-0000A8000000}"/>
    <cellStyle name="20% - Accent1 27 2" xfId="4360" xr:uid="{00000000-0005-0000-0000-0000A9000000}"/>
    <cellStyle name="20% - Accent1 28" xfId="3672" xr:uid="{00000000-0005-0000-0000-0000AA000000}"/>
    <cellStyle name="20% - Accent1 3" xfId="314" xr:uid="{00000000-0005-0000-0000-0000AB000000}"/>
    <cellStyle name="20% - Accent1 4" xfId="315" xr:uid="{00000000-0005-0000-0000-0000AC000000}"/>
    <cellStyle name="20% - Accent1 5" xfId="316" xr:uid="{00000000-0005-0000-0000-0000AD000000}"/>
    <cellStyle name="20% - Accent1 6" xfId="317" xr:uid="{00000000-0005-0000-0000-0000AE000000}"/>
    <cellStyle name="20% - Accent1 7" xfId="318" xr:uid="{00000000-0005-0000-0000-0000AF000000}"/>
    <cellStyle name="20% - Accent1 8" xfId="319" xr:uid="{00000000-0005-0000-0000-0000B0000000}"/>
    <cellStyle name="20% - Accent1 9" xfId="320" xr:uid="{00000000-0005-0000-0000-0000B1000000}"/>
    <cellStyle name="20% - Accent2" xfId="234" builtinId="34" customBuiltin="1"/>
    <cellStyle name="20% - Accent2 10" xfId="321" xr:uid="{00000000-0005-0000-0000-0000B3000000}"/>
    <cellStyle name="20% - Accent2 11" xfId="322" xr:uid="{00000000-0005-0000-0000-0000B4000000}"/>
    <cellStyle name="20% - Accent2 12" xfId="323" xr:uid="{00000000-0005-0000-0000-0000B5000000}"/>
    <cellStyle name="20% - Accent2 13" xfId="324" xr:uid="{00000000-0005-0000-0000-0000B6000000}"/>
    <cellStyle name="20% - Accent2 14" xfId="325" xr:uid="{00000000-0005-0000-0000-0000B7000000}"/>
    <cellStyle name="20% - Accent2 15" xfId="326" xr:uid="{00000000-0005-0000-0000-0000B8000000}"/>
    <cellStyle name="20% - Accent2 16" xfId="327" xr:uid="{00000000-0005-0000-0000-0000B9000000}"/>
    <cellStyle name="20% - Accent2 16 2" xfId="328" xr:uid="{00000000-0005-0000-0000-0000BA000000}"/>
    <cellStyle name="20% - Accent2 16 2 2" xfId="329" xr:uid="{00000000-0005-0000-0000-0000BB000000}"/>
    <cellStyle name="20% - Accent2 16 2 2 2" xfId="330" xr:uid="{00000000-0005-0000-0000-0000BC000000}"/>
    <cellStyle name="20% - Accent2 16 2 2 2 2" xfId="2528" xr:uid="{00000000-0005-0000-0000-0000BD000000}"/>
    <cellStyle name="20% - Accent2 16 2 2 2 2 2" xfId="4406" xr:uid="{00000000-0005-0000-0000-0000BE000000}"/>
    <cellStyle name="20% - Accent2 16 2 2 2 3" xfId="3720" xr:uid="{00000000-0005-0000-0000-0000BF000000}"/>
    <cellStyle name="20% - Accent2 16 2 2 3" xfId="2527" xr:uid="{00000000-0005-0000-0000-0000C0000000}"/>
    <cellStyle name="20% - Accent2 16 2 2 3 2" xfId="4405" xr:uid="{00000000-0005-0000-0000-0000C1000000}"/>
    <cellStyle name="20% - Accent2 16 2 2 4" xfId="3719" xr:uid="{00000000-0005-0000-0000-0000C2000000}"/>
    <cellStyle name="20% - Accent2 16 2 3" xfId="331" xr:uid="{00000000-0005-0000-0000-0000C3000000}"/>
    <cellStyle name="20% - Accent2 16 2 3 2" xfId="332" xr:uid="{00000000-0005-0000-0000-0000C4000000}"/>
    <cellStyle name="20% - Accent2 16 2 3 2 2" xfId="2530" xr:uid="{00000000-0005-0000-0000-0000C5000000}"/>
    <cellStyle name="20% - Accent2 16 2 3 2 2 2" xfId="4408" xr:uid="{00000000-0005-0000-0000-0000C6000000}"/>
    <cellStyle name="20% - Accent2 16 2 3 2 3" xfId="3722" xr:uid="{00000000-0005-0000-0000-0000C7000000}"/>
    <cellStyle name="20% - Accent2 16 2 3 3" xfId="2529" xr:uid="{00000000-0005-0000-0000-0000C8000000}"/>
    <cellStyle name="20% - Accent2 16 2 3 3 2" xfId="4407" xr:uid="{00000000-0005-0000-0000-0000C9000000}"/>
    <cellStyle name="20% - Accent2 16 2 3 4" xfId="3721" xr:uid="{00000000-0005-0000-0000-0000CA000000}"/>
    <cellStyle name="20% - Accent2 16 2 4" xfId="333" xr:uid="{00000000-0005-0000-0000-0000CB000000}"/>
    <cellStyle name="20% - Accent2 16 2 4 2" xfId="334" xr:uid="{00000000-0005-0000-0000-0000CC000000}"/>
    <cellStyle name="20% - Accent2 16 2 4 2 2" xfId="2532" xr:uid="{00000000-0005-0000-0000-0000CD000000}"/>
    <cellStyle name="20% - Accent2 16 2 4 2 2 2" xfId="4410" xr:uid="{00000000-0005-0000-0000-0000CE000000}"/>
    <cellStyle name="20% - Accent2 16 2 4 2 3" xfId="3724" xr:uid="{00000000-0005-0000-0000-0000CF000000}"/>
    <cellStyle name="20% - Accent2 16 2 4 3" xfId="2531" xr:uid="{00000000-0005-0000-0000-0000D0000000}"/>
    <cellStyle name="20% - Accent2 16 2 4 3 2" xfId="4409" xr:uid="{00000000-0005-0000-0000-0000D1000000}"/>
    <cellStyle name="20% - Accent2 16 2 4 4" xfId="3723" xr:uid="{00000000-0005-0000-0000-0000D2000000}"/>
    <cellStyle name="20% - Accent2 16 2 5" xfId="335" xr:uid="{00000000-0005-0000-0000-0000D3000000}"/>
    <cellStyle name="20% - Accent2 16 2 5 2" xfId="2533" xr:uid="{00000000-0005-0000-0000-0000D4000000}"/>
    <cellStyle name="20% - Accent2 16 2 5 2 2" xfId="4411" xr:uid="{00000000-0005-0000-0000-0000D5000000}"/>
    <cellStyle name="20% - Accent2 16 2 5 3" xfId="3725" xr:uid="{00000000-0005-0000-0000-0000D6000000}"/>
    <cellStyle name="20% - Accent2 16 2 6" xfId="2242" xr:uid="{00000000-0005-0000-0000-0000D7000000}"/>
    <cellStyle name="20% - Accent2 16 2 6 2" xfId="2956" xr:uid="{00000000-0005-0000-0000-0000D8000000}"/>
    <cellStyle name="20% - Accent2 16 2 6 2 2" xfId="4831" xr:uid="{00000000-0005-0000-0000-0000D9000000}"/>
    <cellStyle name="20% - Accent2 16 2 6 3" xfId="4144" xr:uid="{00000000-0005-0000-0000-0000DA000000}"/>
    <cellStyle name="20% - Accent2 16 2 7" xfId="2526" xr:uid="{00000000-0005-0000-0000-0000DB000000}"/>
    <cellStyle name="20% - Accent2 16 2 7 2" xfId="4404" xr:uid="{00000000-0005-0000-0000-0000DC000000}"/>
    <cellStyle name="20% - Accent2 16 2 8" xfId="3718" xr:uid="{00000000-0005-0000-0000-0000DD000000}"/>
    <cellStyle name="20% - Accent2 16 3" xfId="336" xr:uid="{00000000-0005-0000-0000-0000DE000000}"/>
    <cellStyle name="20% - Accent2 16 3 2" xfId="337" xr:uid="{00000000-0005-0000-0000-0000DF000000}"/>
    <cellStyle name="20% - Accent2 16 3 2 2" xfId="2535" xr:uid="{00000000-0005-0000-0000-0000E0000000}"/>
    <cellStyle name="20% - Accent2 16 3 2 2 2" xfId="4413" xr:uid="{00000000-0005-0000-0000-0000E1000000}"/>
    <cellStyle name="20% - Accent2 16 3 2 3" xfId="3727" xr:uid="{00000000-0005-0000-0000-0000E2000000}"/>
    <cellStyle name="20% - Accent2 16 3 3" xfId="2534" xr:uid="{00000000-0005-0000-0000-0000E3000000}"/>
    <cellStyle name="20% - Accent2 16 3 3 2" xfId="4412" xr:uid="{00000000-0005-0000-0000-0000E4000000}"/>
    <cellStyle name="20% - Accent2 16 3 4" xfId="3726" xr:uid="{00000000-0005-0000-0000-0000E5000000}"/>
    <cellStyle name="20% - Accent2 16 4" xfId="338" xr:uid="{00000000-0005-0000-0000-0000E6000000}"/>
    <cellStyle name="20% - Accent2 16 4 2" xfId="339" xr:uid="{00000000-0005-0000-0000-0000E7000000}"/>
    <cellStyle name="20% - Accent2 16 4 2 2" xfId="2537" xr:uid="{00000000-0005-0000-0000-0000E8000000}"/>
    <cellStyle name="20% - Accent2 16 4 2 2 2" xfId="4415" xr:uid="{00000000-0005-0000-0000-0000E9000000}"/>
    <cellStyle name="20% - Accent2 16 4 2 3" xfId="3729" xr:uid="{00000000-0005-0000-0000-0000EA000000}"/>
    <cellStyle name="20% - Accent2 16 4 3" xfId="2536" xr:uid="{00000000-0005-0000-0000-0000EB000000}"/>
    <cellStyle name="20% - Accent2 16 4 3 2" xfId="4414" xr:uid="{00000000-0005-0000-0000-0000EC000000}"/>
    <cellStyle name="20% - Accent2 16 4 4" xfId="3728" xr:uid="{00000000-0005-0000-0000-0000ED000000}"/>
    <cellStyle name="20% - Accent2 16 5" xfId="340" xr:uid="{00000000-0005-0000-0000-0000EE000000}"/>
    <cellStyle name="20% - Accent2 16 5 2" xfId="341" xr:uid="{00000000-0005-0000-0000-0000EF000000}"/>
    <cellStyle name="20% - Accent2 16 5 2 2" xfId="2539" xr:uid="{00000000-0005-0000-0000-0000F0000000}"/>
    <cellStyle name="20% - Accent2 16 5 2 2 2" xfId="4417" xr:uid="{00000000-0005-0000-0000-0000F1000000}"/>
    <cellStyle name="20% - Accent2 16 5 2 3" xfId="3731" xr:uid="{00000000-0005-0000-0000-0000F2000000}"/>
    <cellStyle name="20% - Accent2 16 5 3" xfId="2538" xr:uid="{00000000-0005-0000-0000-0000F3000000}"/>
    <cellStyle name="20% - Accent2 16 5 3 2" xfId="4416" xr:uid="{00000000-0005-0000-0000-0000F4000000}"/>
    <cellStyle name="20% - Accent2 16 5 4" xfId="3730" xr:uid="{00000000-0005-0000-0000-0000F5000000}"/>
    <cellStyle name="20% - Accent2 16 6" xfId="342" xr:uid="{00000000-0005-0000-0000-0000F6000000}"/>
    <cellStyle name="20% - Accent2 16 6 2" xfId="2540" xr:uid="{00000000-0005-0000-0000-0000F7000000}"/>
    <cellStyle name="20% - Accent2 16 6 2 2" xfId="4418" xr:uid="{00000000-0005-0000-0000-0000F8000000}"/>
    <cellStyle name="20% - Accent2 16 6 3" xfId="3732" xr:uid="{00000000-0005-0000-0000-0000F9000000}"/>
    <cellStyle name="20% - Accent2 16 7" xfId="2216" xr:uid="{00000000-0005-0000-0000-0000FA000000}"/>
    <cellStyle name="20% - Accent2 16 7 2" xfId="2930" xr:uid="{00000000-0005-0000-0000-0000FB000000}"/>
    <cellStyle name="20% - Accent2 16 7 2 2" xfId="4805" xr:uid="{00000000-0005-0000-0000-0000FC000000}"/>
    <cellStyle name="20% - Accent2 16 7 3" xfId="4118" xr:uid="{00000000-0005-0000-0000-0000FD000000}"/>
    <cellStyle name="20% - Accent2 16 8" xfId="2525" xr:uid="{00000000-0005-0000-0000-0000FE000000}"/>
    <cellStyle name="20% - Accent2 16 8 2" xfId="4403" xr:uid="{00000000-0005-0000-0000-0000FF000000}"/>
    <cellStyle name="20% - Accent2 16 9" xfId="3717" xr:uid="{00000000-0005-0000-0000-000000010000}"/>
    <cellStyle name="20% - Accent2 17" xfId="343" xr:uid="{00000000-0005-0000-0000-000001010000}"/>
    <cellStyle name="20% - Accent2 18" xfId="344" xr:uid="{00000000-0005-0000-0000-000002010000}"/>
    <cellStyle name="20% - Accent2 19" xfId="345" xr:uid="{00000000-0005-0000-0000-000003010000}"/>
    <cellStyle name="20% - Accent2 2" xfId="346" xr:uid="{00000000-0005-0000-0000-000004010000}"/>
    <cellStyle name="20% - Accent2 2 2" xfId="347" xr:uid="{00000000-0005-0000-0000-000005010000}"/>
    <cellStyle name="20% - Accent2 2 3" xfId="348" xr:uid="{00000000-0005-0000-0000-000006010000}"/>
    <cellStyle name="20% - Accent2 2 4" xfId="349" xr:uid="{00000000-0005-0000-0000-000007010000}"/>
    <cellStyle name="20% - Accent2 2 5" xfId="350" xr:uid="{00000000-0005-0000-0000-000008010000}"/>
    <cellStyle name="20% - Accent2 20" xfId="351" xr:uid="{00000000-0005-0000-0000-000009010000}"/>
    <cellStyle name="20% - Accent2 21" xfId="352" xr:uid="{00000000-0005-0000-0000-00000A010000}"/>
    <cellStyle name="20% - Accent2 21 2" xfId="353" xr:uid="{00000000-0005-0000-0000-00000B010000}"/>
    <cellStyle name="20% - Accent2 21 2 2" xfId="354" xr:uid="{00000000-0005-0000-0000-00000C010000}"/>
    <cellStyle name="20% - Accent2 21 2 2 2" xfId="2543" xr:uid="{00000000-0005-0000-0000-00000D010000}"/>
    <cellStyle name="20% - Accent2 21 2 2 2 2" xfId="4421" xr:uid="{00000000-0005-0000-0000-00000E010000}"/>
    <cellStyle name="20% - Accent2 21 2 2 3" xfId="3735" xr:uid="{00000000-0005-0000-0000-00000F010000}"/>
    <cellStyle name="20% - Accent2 21 2 3" xfId="2542" xr:uid="{00000000-0005-0000-0000-000010010000}"/>
    <cellStyle name="20% - Accent2 21 2 3 2" xfId="4420" xr:uid="{00000000-0005-0000-0000-000011010000}"/>
    <cellStyle name="20% - Accent2 21 2 4" xfId="3734" xr:uid="{00000000-0005-0000-0000-000012010000}"/>
    <cellStyle name="20% - Accent2 21 3" xfId="355" xr:uid="{00000000-0005-0000-0000-000013010000}"/>
    <cellStyle name="20% - Accent2 21 3 2" xfId="356" xr:uid="{00000000-0005-0000-0000-000014010000}"/>
    <cellStyle name="20% - Accent2 21 3 2 2" xfId="2545" xr:uid="{00000000-0005-0000-0000-000015010000}"/>
    <cellStyle name="20% - Accent2 21 3 2 2 2" xfId="4423" xr:uid="{00000000-0005-0000-0000-000016010000}"/>
    <cellStyle name="20% - Accent2 21 3 2 3" xfId="3737" xr:uid="{00000000-0005-0000-0000-000017010000}"/>
    <cellStyle name="20% - Accent2 21 3 3" xfId="2544" xr:uid="{00000000-0005-0000-0000-000018010000}"/>
    <cellStyle name="20% - Accent2 21 3 3 2" xfId="4422" xr:uid="{00000000-0005-0000-0000-000019010000}"/>
    <cellStyle name="20% - Accent2 21 3 4" xfId="3736" xr:uid="{00000000-0005-0000-0000-00001A010000}"/>
    <cellStyle name="20% - Accent2 21 4" xfId="357" xr:uid="{00000000-0005-0000-0000-00001B010000}"/>
    <cellStyle name="20% - Accent2 21 4 2" xfId="358" xr:uid="{00000000-0005-0000-0000-00001C010000}"/>
    <cellStyle name="20% - Accent2 21 4 2 2" xfId="2547" xr:uid="{00000000-0005-0000-0000-00001D010000}"/>
    <cellStyle name="20% - Accent2 21 4 2 2 2" xfId="4425" xr:uid="{00000000-0005-0000-0000-00001E010000}"/>
    <cellStyle name="20% - Accent2 21 4 2 3" xfId="3739" xr:uid="{00000000-0005-0000-0000-00001F010000}"/>
    <cellStyle name="20% - Accent2 21 4 3" xfId="2546" xr:uid="{00000000-0005-0000-0000-000020010000}"/>
    <cellStyle name="20% - Accent2 21 4 3 2" xfId="4424" xr:uid="{00000000-0005-0000-0000-000021010000}"/>
    <cellStyle name="20% - Accent2 21 4 4" xfId="3738" xr:uid="{00000000-0005-0000-0000-000022010000}"/>
    <cellStyle name="20% - Accent2 21 5" xfId="359" xr:uid="{00000000-0005-0000-0000-000023010000}"/>
    <cellStyle name="20% - Accent2 21 5 2" xfId="2548" xr:uid="{00000000-0005-0000-0000-000024010000}"/>
    <cellStyle name="20% - Accent2 21 5 2 2" xfId="4426" xr:uid="{00000000-0005-0000-0000-000025010000}"/>
    <cellStyle name="20% - Accent2 21 5 3" xfId="3740" xr:uid="{00000000-0005-0000-0000-000026010000}"/>
    <cellStyle name="20% - Accent2 21 6" xfId="2227" xr:uid="{00000000-0005-0000-0000-000027010000}"/>
    <cellStyle name="20% - Accent2 21 6 2" xfId="2941" xr:uid="{00000000-0005-0000-0000-000028010000}"/>
    <cellStyle name="20% - Accent2 21 6 2 2" xfId="4816" xr:uid="{00000000-0005-0000-0000-000029010000}"/>
    <cellStyle name="20% - Accent2 21 6 3" xfId="4129" xr:uid="{00000000-0005-0000-0000-00002A010000}"/>
    <cellStyle name="20% - Accent2 21 7" xfId="2541" xr:uid="{00000000-0005-0000-0000-00002B010000}"/>
    <cellStyle name="20% - Accent2 21 7 2" xfId="4419" xr:uid="{00000000-0005-0000-0000-00002C010000}"/>
    <cellStyle name="20% - Accent2 21 8" xfId="3733" xr:uid="{00000000-0005-0000-0000-00002D010000}"/>
    <cellStyle name="20% - Accent2 22" xfId="360" xr:uid="{00000000-0005-0000-0000-00002E010000}"/>
    <cellStyle name="20% - Accent2 22 2" xfId="361" xr:uid="{00000000-0005-0000-0000-00002F010000}"/>
    <cellStyle name="20% - Accent2 22 2 2" xfId="2550" xr:uid="{00000000-0005-0000-0000-000030010000}"/>
    <cellStyle name="20% - Accent2 22 2 2 2" xfId="4428" xr:uid="{00000000-0005-0000-0000-000031010000}"/>
    <cellStyle name="20% - Accent2 22 2 3" xfId="3742" xr:uid="{00000000-0005-0000-0000-000032010000}"/>
    <cellStyle name="20% - Accent2 22 3" xfId="2549" xr:uid="{00000000-0005-0000-0000-000033010000}"/>
    <cellStyle name="20% - Accent2 22 3 2" xfId="4427" xr:uid="{00000000-0005-0000-0000-000034010000}"/>
    <cellStyle name="20% - Accent2 22 4" xfId="3741" xr:uid="{00000000-0005-0000-0000-000035010000}"/>
    <cellStyle name="20% - Accent2 23" xfId="362" xr:uid="{00000000-0005-0000-0000-000036010000}"/>
    <cellStyle name="20% - Accent2 23 2" xfId="363" xr:uid="{00000000-0005-0000-0000-000037010000}"/>
    <cellStyle name="20% - Accent2 23 2 2" xfId="2552" xr:uid="{00000000-0005-0000-0000-000038010000}"/>
    <cellStyle name="20% - Accent2 23 2 2 2" xfId="4430" xr:uid="{00000000-0005-0000-0000-000039010000}"/>
    <cellStyle name="20% - Accent2 23 2 3" xfId="3744" xr:uid="{00000000-0005-0000-0000-00003A010000}"/>
    <cellStyle name="20% - Accent2 23 3" xfId="2551" xr:uid="{00000000-0005-0000-0000-00003B010000}"/>
    <cellStyle name="20% - Accent2 23 3 2" xfId="4429" xr:uid="{00000000-0005-0000-0000-00003C010000}"/>
    <cellStyle name="20% - Accent2 23 4" xfId="3743" xr:uid="{00000000-0005-0000-0000-00003D010000}"/>
    <cellStyle name="20% - Accent2 24" xfId="364" xr:uid="{00000000-0005-0000-0000-00003E010000}"/>
    <cellStyle name="20% - Accent2 24 2" xfId="365" xr:uid="{00000000-0005-0000-0000-00003F010000}"/>
    <cellStyle name="20% - Accent2 24 2 2" xfId="2554" xr:uid="{00000000-0005-0000-0000-000040010000}"/>
    <cellStyle name="20% - Accent2 24 2 2 2" xfId="4432" xr:uid="{00000000-0005-0000-0000-000041010000}"/>
    <cellStyle name="20% - Accent2 24 2 3" xfId="3746" xr:uid="{00000000-0005-0000-0000-000042010000}"/>
    <cellStyle name="20% - Accent2 24 3" xfId="2553" xr:uid="{00000000-0005-0000-0000-000043010000}"/>
    <cellStyle name="20% - Accent2 24 3 2" xfId="4431" xr:uid="{00000000-0005-0000-0000-000044010000}"/>
    <cellStyle name="20% - Accent2 24 4" xfId="3745" xr:uid="{00000000-0005-0000-0000-000045010000}"/>
    <cellStyle name="20% - Accent2 25" xfId="366" xr:uid="{00000000-0005-0000-0000-000046010000}"/>
    <cellStyle name="20% - Accent2 25 2" xfId="2555" xr:uid="{00000000-0005-0000-0000-000047010000}"/>
    <cellStyle name="20% - Accent2 25 2 2" xfId="4433" xr:uid="{00000000-0005-0000-0000-000048010000}"/>
    <cellStyle name="20% - Accent2 25 3" xfId="3747" xr:uid="{00000000-0005-0000-0000-000049010000}"/>
    <cellStyle name="20% - Accent2 26" xfId="2201" xr:uid="{00000000-0005-0000-0000-00004A010000}"/>
    <cellStyle name="20% - Accent2 26 2" xfId="2915" xr:uid="{00000000-0005-0000-0000-00004B010000}"/>
    <cellStyle name="20% - Accent2 26 2 2" xfId="4790" xr:uid="{00000000-0005-0000-0000-00004C010000}"/>
    <cellStyle name="20% - Accent2 26 3" xfId="4103" xr:uid="{00000000-0005-0000-0000-00004D010000}"/>
    <cellStyle name="20% - Accent2 27" xfId="2483" xr:uid="{00000000-0005-0000-0000-00004E010000}"/>
    <cellStyle name="20% - Accent2 27 2" xfId="4362" xr:uid="{00000000-0005-0000-0000-00004F010000}"/>
    <cellStyle name="20% - Accent2 28" xfId="3674" xr:uid="{00000000-0005-0000-0000-000050010000}"/>
    <cellStyle name="20% - Accent2 3" xfId="367" xr:uid="{00000000-0005-0000-0000-000051010000}"/>
    <cellStyle name="20% - Accent2 4" xfId="368" xr:uid="{00000000-0005-0000-0000-000052010000}"/>
    <cellStyle name="20% - Accent2 5" xfId="369" xr:uid="{00000000-0005-0000-0000-000053010000}"/>
    <cellStyle name="20% - Accent2 6" xfId="370" xr:uid="{00000000-0005-0000-0000-000054010000}"/>
    <cellStyle name="20% - Accent2 7" xfId="371" xr:uid="{00000000-0005-0000-0000-000055010000}"/>
    <cellStyle name="20% - Accent2 8" xfId="372" xr:uid="{00000000-0005-0000-0000-000056010000}"/>
    <cellStyle name="20% - Accent2 9" xfId="373" xr:uid="{00000000-0005-0000-0000-000057010000}"/>
    <cellStyle name="20% - Accent3" xfId="238" builtinId="38" customBuiltin="1"/>
    <cellStyle name="20% - Accent3 10" xfId="374" xr:uid="{00000000-0005-0000-0000-000059010000}"/>
    <cellStyle name="20% - Accent3 11" xfId="375" xr:uid="{00000000-0005-0000-0000-00005A010000}"/>
    <cellStyle name="20% - Accent3 12" xfId="376" xr:uid="{00000000-0005-0000-0000-00005B010000}"/>
    <cellStyle name="20% - Accent3 13" xfId="377" xr:uid="{00000000-0005-0000-0000-00005C010000}"/>
    <cellStyle name="20% - Accent3 14" xfId="378" xr:uid="{00000000-0005-0000-0000-00005D010000}"/>
    <cellStyle name="20% - Accent3 15" xfId="379" xr:uid="{00000000-0005-0000-0000-00005E010000}"/>
    <cellStyle name="20% - Accent3 16" xfId="380" xr:uid="{00000000-0005-0000-0000-00005F010000}"/>
    <cellStyle name="20% - Accent3 16 2" xfId="381" xr:uid="{00000000-0005-0000-0000-000060010000}"/>
    <cellStyle name="20% - Accent3 16 2 2" xfId="382" xr:uid="{00000000-0005-0000-0000-000061010000}"/>
    <cellStyle name="20% - Accent3 16 2 2 2" xfId="383" xr:uid="{00000000-0005-0000-0000-000062010000}"/>
    <cellStyle name="20% - Accent3 16 2 2 2 2" xfId="2559" xr:uid="{00000000-0005-0000-0000-000063010000}"/>
    <cellStyle name="20% - Accent3 16 2 2 2 2 2" xfId="4437" xr:uid="{00000000-0005-0000-0000-000064010000}"/>
    <cellStyle name="20% - Accent3 16 2 2 2 3" xfId="3751" xr:uid="{00000000-0005-0000-0000-000065010000}"/>
    <cellStyle name="20% - Accent3 16 2 2 3" xfId="2558" xr:uid="{00000000-0005-0000-0000-000066010000}"/>
    <cellStyle name="20% - Accent3 16 2 2 3 2" xfId="4436" xr:uid="{00000000-0005-0000-0000-000067010000}"/>
    <cellStyle name="20% - Accent3 16 2 2 4" xfId="3750" xr:uid="{00000000-0005-0000-0000-000068010000}"/>
    <cellStyle name="20% - Accent3 16 2 3" xfId="384" xr:uid="{00000000-0005-0000-0000-000069010000}"/>
    <cellStyle name="20% - Accent3 16 2 3 2" xfId="385" xr:uid="{00000000-0005-0000-0000-00006A010000}"/>
    <cellStyle name="20% - Accent3 16 2 3 2 2" xfId="2561" xr:uid="{00000000-0005-0000-0000-00006B010000}"/>
    <cellStyle name="20% - Accent3 16 2 3 2 2 2" xfId="4439" xr:uid="{00000000-0005-0000-0000-00006C010000}"/>
    <cellStyle name="20% - Accent3 16 2 3 2 3" xfId="3753" xr:uid="{00000000-0005-0000-0000-00006D010000}"/>
    <cellStyle name="20% - Accent3 16 2 3 3" xfId="2560" xr:uid="{00000000-0005-0000-0000-00006E010000}"/>
    <cellStyle name="20% - Accent3 16 2 3 3 2" xfId="4438" xr:uid="{00000000-0005-0000-0000-00006F010000}"/>
    <cellStyle name="20% - Accent3 16 2 3 4" xfId="3752" xr:uid="{00000000-0005-0000-0000-000070010000}"/>
    <cellStyle name="20% - Accent3 16 2 4" xfId="386" xr:uid="{00000000-0005-0000-0000-000071010000}"/>
    <cellStyle name="20% - Accent3 16 2 4 2" xfId="387" xr:uid="{00000000-0005-0000-0000-000072010000}"/>
    <cellStyle name="20% - Accent3 16 2 4 2 2" xfId="2563" xr:uid="{00000000-0005-0000-0000-000073010000}"/>
    <cellStyle name="20% - Accent3 16 2 4 2 2 2" xfId="4441" xr:uid="{00000000-0005-0000-0000-000074010000}"/>
    <cellStyle name="20% - Accent3 16 2 4 2 3" xfId="3755" xr:uid="{00000000-0005-0000-0000-000075010000}"/>
    <cellStyle name="20% - Accent3 16 2 4 3" xfId="2562" xr:uid="{00000000-0005-0000-0000-000076010000}"/>
    <cellStyle name="20% - Accent3 16 2 4 3 2" xfId="4440" xr:uid="{00000000-0005-0000-0000-000077010000}"/>
    <cellStyle name="20% - Accent3 16 2 4 4" xfId="3754" xr:uid="{00000000-0005-0000-0000-000078010000}"/>
    <cellStyle name="20% - Accent3 16 2 5" xfId="388" xr:uid="{00000000-0005-0000-0000-000079010000}"/>
    <cellStyle name="20% - Accent3 16 2 5 2" xfId="2564" xr:uid="{00000000-0005-0000-0000-00007A010000}"/>
    <cellStyle name="20% - Accent3 16 2 5 2 2" xfId="4442" xr:uid="{00000000-0005-0000-0000-00007B010000}"/>
    <cellStyle name="20% - Accent3 16 2 5 3" xfId="3756" xr:uid="{00000000-0005-0000-0000-00007C010000}"/>
    <cellStyle name="20% - Accent3 16 2 6" xfId="2244" xr:uid="{00000000-0005-0000-0000-00007D010000}"/>
    <cellStyle name="20% - Accent3 16 2 6 2" xfId="2958" xr:uid="{00000000-0005-0000-0000-00007E010000}"/>
    <cellStyle name="20% - Accent3 16 2 6 2 2" xfId="4833" xr:uid="{00000000-0005-0000-0000-00007F010000}"/>
    <cellStyle name="20% - Accent3 16 2 6 3" xfId="4146" xr:uid="{00000000-0005-0000-0000-000080010000}"/>
    <cellStyle name="20% - Accent3 16 2 7" xfId="2557" xr:uid="{00000000-0005-0000-0000-000081010000}"/>
    <cellStyle name="20% - Accent3 16 2 7 2" xfId="4435" xr:uid="{00000000-0005-0000-0000-000082010000}"/>
    <cellStyle name="20% - Accent3 16 2 8" xfId="3749" xr:uid="{00000000-0005-0000-0000-000083010000}"/>
    <cellStyle name="20% - Accent3 16 3" xfId="389" xr:uid="{00000000-0005-0000-0000-000084010000}"/>
    <cellStyle name="20% - Accent3 16 3 2" xfId="390" xr:uid="{00000000-0005-0000-0000-000085010000}"/>
    <cellStyle name="20% - Accent3 16 3 2 2" xfId="2566" xr:uid="{00000000-0005-0000-0000-000086010000}"/>
    <cellStyle name="20% - Accent3 16 3 2 2 2" xfId="4444" xr:uid="{00000000-0005-0000-0000-000087010000}"/>
    <cellStyle name="20% - Accent3 16 3 2 3" xfId="3758" xr:uid="{00000000-0005-0000-0000-000088010000}"/>
    <cellStyle name="20% - Accent3 16 3 3" xfId="2565" xr:uid="{00000000-0005-0000-0000-000089010000}"/>
    <cellStyle name="20% - Accent3 16 3 3 2" xfId="4443" xr:uid="{00000000-0005-0000-0000-00008A010000}"/>
    <cellStyle name="20% - Accent3 16 3 4" xfId="3757" xr:uid="{00000000-0005-0000-0000-00008B010000}"/>
    <cellStyle name="20% - Accent3 16 4" xfId="391" xr:uid="{00000000-0005-0000-0000-00008C010000}"/>
    <cellStyle name="20% - Accent3 16 4 2" xfId="392" xr:uid="{00000000-0005-0000-0000-00008D010000}"/>
    <cellStyle name="20% - Accent3 16 4 2 2" xfId="2568" xr:uid="{00000000-0005-0000-0000-00008E010000}"/>
    <cellStyle name="20% - Accent3 16 4 2 2 2" xfId="4446" xr:uid="{00000000-0005-0000-0000-00008F010000}"/>
    <cellStyle name="20% - Accent3 16 4 2 3" xfId="3760" xr:uid="{00000000-0005-0000-0000-000090010000}"/>
    <cellStyle name="20% - Accent3 16 4 3" xfId="2567" xr:uid="{00000000-0005-0000-0000-000091010000}"/>
    <cellStyle name="20% - Accent3 16 4 3 2" xfId="4445" xr:uid="{00000000-0005-0000-0000-000092010000}"/>
    <cellStyle name="20% - Accent3 16 4 4" xfId="3759" xr:uid="{00000000-0005-0000-0000-000093010000}"/>
    <cellStyle name="20% - Accent3 16 5" xfId="393" xr:uid="{00000000-0005-0000-0000-000094010000}"/>
    <cellStyle name="20% - Accent3 16 5 2" xfId="394" xr:uid="{00000000-0005-0000-0000-000095010000}"/>
    <cellStyle name="20% - Accent3 16 5 2 2" xfId="2570" xr:uid="{00000000-0005-0000-0000-000096010000}"/>
    <cellStyle name="20% - Accent3 16 5 2 2 2" xfId="4448" xr:uid="{00000000-0005-0000-0000-000097010000}"/>
    <cellStyle name="20% - Accent3 16 5 2 3" xfId="3762" xr:uid="{00000000-0005-0000-0000-000098010000}"/>
    <cellStyle name="20% - Accent3 16 5 3" xfId="2569" xr:uid="{00000000-0005-0000-0000-000099010000}"/>
    <cellStyle name="20% - Accent3 16 5 3 2" xfId="4447" xr:uid="{00000000-0005-0000-0000-00009A010000}"/>
    <cellStyle name="20% - Accent3 16 5 4" xfId="3761" xr:uid="{00000000-0005-0000-0000-00009B010000}"/>
    <cellStyle name="20% - Accent3 16 6" xfId="395" xr:uid="{00000000-0005-0000-0000-00009C010000}"/>
    <cellStyle name="20% - Accent3 16 6 2" xfId="2571" xr:uid="{00000000-0005-0000-0000-00009D010000}"/>
    <cellStyle name="20% - Accent3 16 6 2 2" xfId="4449" xr:uid="{00000000-0005-0000-0000-00009E010000}"/>
    <cellStyle name="20% - Accent3 16 6 3" xfId="3763" xr:uid="{00000000-0005-0000-0000-00009F010000}"/>
    <cellStyle name="20% - Accent3 16 7" xfId="2218" xr:uid="{00000000-0005-0000-0000-0000A0010000}"/>
    <cellStyle name="20% - Accent3 16 7 2" xfId="2932" xr:uid="{00000000-0005-0000-0000-0000A1010000}"/>
    <cellStyle name="20% - Accent3 16 7 2 2" xfId="4807" xr:uid="{00000000-0005-0000-0000-0000A2010000}"/>
    <cellStyle name="20% - Accent3 16 7 3" xfId="4120" xr:uid="{00000000-0005-0000-0000-0000A3010000}"/>
    <cellStyle name="20% - Accent3 16 8" xfId="2556" xr:uid="{00000000-0005-0000-0000-0000A4010000}"/>
    <cellStyle name="20% - Accent3 16 8 2" xfId="4434" xr:uid="{00000000-0005-0000-0000-0000A5010000}"/>
    <cellStyle name="20% - Accent3 16 9" xfId="3748" xr:uid="{00000000-0005-0000-0000-0000A6010000}"/>
    <cellStyle name="20% - Accent3 17" xfId="396" xr:uid="{00000000-0005-0000-0000-0000A7010000}"/>
    <cellStyle name="20% - Accent3 18" xfId="397" xr:uid="{00000000-0005-0000-0000-0000A8010000}"/>
    <cellStyle name="20% - Accent3 19" xfId="398" xr:uid="{00000000-0005-0000-0000-0000A9010000}"/>
    <cellStyle name="20% - Accent3 2" xfId="399" xr:uid="{00000000-0005-0000-0000-0000AA010000}"/>
    <cellStyle name="20% - Accent3 2 2" xfId="400" xr:uid="{00000000-0005-0000-0000-0000AB010000}"/>
    <cellStyle name="20% - Accent3 2 3" xfId="401" xr:uid="{00000000-0005-0000-0000-0000AC010000}"/>
    <cellStyle name="20% - Accent3 2 4" xfId="402" xr:uid="{00000000-0005-0000-0000-0000AD010000}"/>
    <cellStyle name="20% - Accent3 2 5" xfId="403" xr:uid="{00000000-0005-0000-0000-0000AE010000}"/>
    <cellStyle name="20% - Accent3 20" xfId="404" xr:uid="{00000000-0005-0000-0000-0000AF010000}"/>
    <cellStyle name="20% - Accent3 21" xfId="405" xr:uid="{00000000-0005-0000-0000-0000B0010000}"/>
    <cellStyle name="20% - Accent3 21 2" xfId="406" xr:uid="{00000000-0005-0000-0000-0000B1010000}"/>
    <cellStyle name="20% - Accent3 21 2 2" xfId="407" xr:uid="{00000000-0005-0000-0000-0000B2010000}"/>
    <cellStyle name="20% - Accent3 21 2 2 2" xfId="2574" xr:uid="{00000000-0005-0000-0000-0000B3010000}"/>
    <cellStyle name="20% - Accent3 21 2 2 2 2" xfId="4452" xr:uid="{00000000-0005-0000-0000-0000B4010000}"/>
    <cellStyle name="20% - Accent3 21 2 2 3" xfId="3766" xr:uid="{00000000-0005-0000-0000-0000B5010000}"/>
    <cellStyle name="20% - Accent3 21 2 3" xfId="2573" xr:uid="{00000000-0005-0000-0000-0000B6010000}"/>
    <cellStyle name="20% - Accent3 21 2 3 2" xfId="4451" xr:uid="{00000000-0005-0000-0000-0000B7010000}"/>
    <cellStyle name="20% - Accent3 21 2 4" xfId="3765" xr:uid="{00000000-0005-0000-0000-0000B8010000}"/>
    <cellStyle name="20% - Accent3 21 3" xfId="408" xr:uid="{00000000-0005-0000-0000-0000B9010000}"/>
    <cellStyle name="20% - Accent3 21 3 2" xfId="409" xr:uid="{00000000-0005-0000-0000-0000BA010000}"/>
    <cellStyle name="20% - Accent3 21 3 2 2" xfId="2576" xr:uid="{00000000-0005-0000-0000-0000BB010000}"/>
    <cellStyle name="20% - Accent3 21 3 2 2 2" xfId="4454" xr:uid="{00000000-0005-0000-0000-0000BC010000}"/>
    <cellStyle name="20% - Accent3 21 3 2 3" xfId="3768" xr:uid="{00000000-0005-0000-0000-0000BD010000}"/>
    <cellStyle name="20% - Accent3 21 3 3" xfId="2575" xr:uid="{00000000-0005-0000-0000-0000BE010000}"/>
    <cellStyle name="20% - Accent3 21 3 3 2" xfId="4453" xr:uid="{00000000-0005-0000-0000-0000BF010000}"/>
    <cellStyle name="20% - Accent3 21 3 4" xfId="3767" xr:uid="{00000000-0005-0000-0000-0000C0010000}"/>
    <cellStyle name="20% - Accent3 21 4" xfId="410" xr:uid="{00000000-0005-0000-0000-0000C1010000}"/>
    <cellStyle name="20% - Accent3 21 4 2" xfId="411" xr:uid="{00000000-0005-0000-0000-0000C2010000}"/>
    <cellStyle name="20% - Accent3 21 4 2 2" xfId="2578" xr:uid="{00000000-0005-0000-0000-0000C3010000}"/>
    <cellStyle name="20% - Accent3 21 4 2 2 2" xfId="4456" xr:uid="{00000000-0005-0000-0000-0000C4010000}"/>
    <cellStyle name="20% - Accent3 21 4 2 3" xfId="3770" xr:uid="{00000000-0005-0000-0000-0000C5010000}"/>
    <cellStyle name="20% - Accent3 21 4 3" xfId="2577" xr:uid="{00000000-0005-0000-0000-0000C6010000}"/>
    <cellStyle name="20% - Accent3 21 4 3 2" xfId="4455" xr:uid="{00000000-0005-0000-0000-0000C7010000}"/>
    <cellStyle name="20% - Accent3 21 4 4" xfId="3769" xr:uid="{00000000-0005-0000-0000-0000C8010000}"/>
    <cellStyle name="20% - Accent3 21 5" xfId="412" xr:uid="{00000000-0005-0000-0000-0000C9010000}"/>
    <cellStyle name="20% - Accent3 21 5 2" xfId="2579" xr:uid="{00000000-0005-0000-0000-0000CA010000}"/>
    <cellStyle name="20% - Accent3 21 5 2 2" xfId="4457" xr:uid="{00000000-0005-0000-0000-0000CB010000}"/>
    <cellStyle name="20% - Accent3 21 5 3" xfId="3771" xr:uid="{00000000-0005-0000-0000-0000CC010000}"/>
    <cellStyle name="20% - Accent3 21 6" xfId="2228" xr:uid="{00000000-0005-0000-0000-0000CD010000}"/>
    <cellStyle name="20% - Accent3 21 6 2" xfId="2942" xr:uid="{00000000-0005-0000-0000-0000CE010000}"/>
    <cellStyle name="20% - Accent3 21 6 2 2" xfId="4817" xr:uid="{00000000-0005-0000-0000-0000CF010000}"/>
    <cellStyle name="20% - Accent3 21 6 3" xfId="4130" xr:uid="{00000000-0005-0000-0000-0000D0010000}"/>
    <cellStyle name="20% - Accent3 21 7" xfId="2572" xr:uid="{00000000-0005-0000-0000-0000D1010000}"/>
    <cellStyle name="20% - Accent3 21 7 2" xfId="4450" xr:uid="{00000000-0005-0000-0000-0000D2010000}"/>
    <cellStyle name="20% - Accent3 21 8" xfId="3764" xr:uid="{00000000-0005-0000-0000-0000D3010000}"/>
    <cellStyle name="20% - Accent3 22" xfId="413" xr:uid="{00000000-0005-0000-0000-0000D4010000}"/>
    <cellStyle name="20% - Accent3 22 2" xfId="414" xr:uid="{00000000-0005-0000-0000-0000D5010000}"/>
    <cellStyle name="20% - Accent3 22 2 2" xfId="2581" xr:uid="{00000000-0005-0000-0000-0000D6010000}"/>
    <cellStyle name="20% - Accent3 22 2 2 2" xfId="4459" xr:uid="{00000000-0005-0000-0000-0000D7010000}"/>
    <cellStyle name="20% - Accent3 22 2 3" xfId="3773" xr:uid="{00000000-0005-0000-0000-0000D8010000}"/>
    <cellStyle name="20% - Accent3 22 3" xfId="2580" xr:uid="{00000000-0005-0000-0000-0000D9010000}"/>
    <cellStyle name="20% - Accent3 22 3 2" xfId="4458" xr:uid="{00000000-0005-0000-0000-0000DA010000}"/>
    <cellStyle name="20% - Accent3 22 4" xfId="3772" xr:uid="{00000000-0005-0000-0000-0000DB010000}"/>
    <cellStyle name="20% - Accent3 23" xfId="415" xr:uid="{00000000-0005-0000-0000-0000DC010000}"/>
    <cellStyle name="20% - Accent3 23 2" xfId="416" xr:uid="{00000000-0005-0000-0000-0000DD010000}"/>
    <cellStyle name="20% - Accent3 23 2 2" xfId="2583" xr:uid="{00000000-0005-0000-0000-0000DE010000}"/>
    <cellStyle name="20% - Accent3 23 2 2 2" xfId="4461" xr:uid="{00000000-0005-0000-0000-0000DF010000}"/>
    <cellStyle name="20% - Accent3 23 2 3" xfId="3775" xr:uid="{00000000-0005-0000-0000-0000E0010000}"/>
    <cellStyle name="20% - Accent3 23 3" xfId="2582" xr:uid="{00000000-0005-0000-0000-0000E1010000}"/>
    <cellStyle name="20% - Accent3 23 3 2" xfId="4460" xr:uid="{00000000-0005-0000-0000-0000E2010000}"/>
    <cellStyle name="20% - Accent3 23 4" xfId="3774" xr:uid="{00000000-0005-0000-0000-0000E3010000}"/>
    <cellStyle name="20% - Accent3 24" xfId="417" xr:uid="{00000000-0005-0000-0000-0000E4010000}"/>
    <cellStyle name="20% - Accent3 24 2" xfId="418" xr:uid="{00000000-0005-0000-0000-0000E5010000}"/>
    <cellStyle name="20% - Accent3 24 2 2" xfId="2585" xr:uid="{00000000-0005-0000-0000-0000E6010000}"/>
    <cellStyle name="20% - Accent3 24 2 2 2" xfId="4463" xr:uid="{00000000-0005-0000-0000-0000E7010000}"/>
    <cellStyle name="20% - Accent3 24 2 3" xfId="3777" xr:uid="{00000000-0005-0000-0000-0000E8010000}"/>
    <cellStyle name="20% - Accent3 24 3" xfId="2584" xr:uid="{00000000-0005-0000-0000-0000E9010000}"/>
    <cellStyle name="20% - Accent3 24 3 2" xfId="4462" xr:uid="{00000000-0005-0000-0000-0000EA010000}"/>
    <cellStyle name="20% - Accent3 24 4" xfId="3776" xr:uid="{00000000-0005-0000-0000-0000EB010000}"/>
    <cellStyle name="20% - Accent3 25" xfId="419" xr:uid="{00000000-0005-0000-0000-0000EC010000}"/>
    <cellStyle name="20% - Accent3 25 2" xfId="2586" xr:uid="{00000000-0005-0000-0000-0000ED010000}"/>
    <cellStyle name="20% - Accent3 25 2 2" xfId="4464" xr:uid="{00000000-0005-0000-0000-0000EE010000}"/>
    <cellStyle name="20% - Accent3 25 3" xfId="3778" xr:uid="{00000000-0005-0000-0000-0000EF010000}"/>
    <cellStyle name="20% - Accent3 26" xfId="2202" xr:uid="{00000000-0005-0000-0000-0000F0010000}"/>
    <cellStyle name="20% - Accent3 26 2" xfId="2916" xr:uid="{00000000-0005-0000-0000-0000F1010000}"/>
    <cellStyle name="20% - Accent3 26 2 2" xfId="4791" xr:uid="{00000000-0005-0000-0000-0000F2010000}"/>
    <cellStyle name="20% - Accent3 26 3" xfId="4104" xr:uid="{00000000-0005-0000-0000-0000F3010000}"/>
    <cellStyle name="20% - Accent3 27" xfId="2485" xr:uid="{00000000-0005-0000-0000-0000F4010000}"/>
    <cellStyle name="20% - Accent3 27 2" xfId="4364" xr:uid="{00000000-0005-0000-0000-0000F5010000}"/>
    <cellStyle name="20% - Accent3 28" xfId="3676" xr:uid="{00000000-0005-0000-0000-0000F6010000}"/>
    <cellStyle name="20% - Accent3 3" xfId="420" xr:uid="{00000000-0005-0000-0000-0000F7010000}"/>
    <cellStyle name="20% - Accent3 4" xfId="421" xr:uid="{00000000-0005-0000-0000-0000F8010000}"/>
    <cellStyle name="20% - Accent3 5" xfId="422" xr:uid="{00000000-0005-0000-0000-0000F9010000}"/>
    <cellStyle name="20% - Accent3 6" xfId="423" xr:uid="{00000000-0005-0000-0000-0000FA010000}"/>
    <cellStyle name="20% - Accent3 7" xfId="424" xr:uid="{00000000-0005-0000-0000-0000FB010000}"/>
    <cellStyle name="20% - Accent3 8" xfId="425" xr:uid="{00000000-0005-0000-0000-0000FC010000}"/>
    <cellStyle name="20% - Accent3 9" xfId="426" xr:uid="{00000000-0005-0000-0000-0000FD010000}"/>
    <cellStyle name="20% - Accent4" xfId="242" builtinId="42" customBuiltin="1"/>
    <cellStyle name="20% - Accent4 10" xfId="427" xr:uid="{00000000-0005-0000-0000-0000FF010000}"/>
    <cellStyle name="20% - Accent4 11" xfId="428" xr:uid="{00000000-0005-0000-0000-000000020000}"/>
    <cellStyle name="20% - Accent4 12" xfId="429" xr:uid="{00000000-0005-0000-0000-000001020000}"/>
    <cellStyle name="20% - Accent4 13" xfId="430" xr:uid="{00000000-0005-0000-0000-000002020000}"/>
    <cellStyle name="20% - Accent4 14" xfId="431" xr:uid="{00000000-0005-0000-0000-000003020000}"/>
    <cellStyle name="20% - Accent4 15" xfId="432" xr:uid="{00000000-0005-0000-0000-000004020000}"/>
    <cellStyle name="20% - Accent4 16" xfId="433" xr:uid="{00000000-0005-0000-0000-000005020000}"/>
    <cellStyle name="20% - Accent4 16 2" xfId="434" xr:uid="{00000000-0005-0000-0000-000006020000}"/>
    <cellStyle name="20% - Accent4 16 2 2" xfId="435" xr:uid="{00000000-0005-0000-0000-000007020000}"/>
    <cellStyle name="20% - Accent4 16 2 2 2" xfId="436" xr:uid="{00000000-0005-0000-0000-000008020000}"/>
    <cellStyle name="20% - Accent4 16 2 2 2 2" xfId="2590" xr:uid="{00000000-0005-0000-0000-000009020000}"/>
    <cellStyle name="20% - Accent4 16 2 2 2 2 2" xfId="4468" xr:uid="{00000000-0005-0000-0000-00000A020000}"/>
    <cellStyle name="20% - Accent4 16 2 2 2 3" xfId="3782" xr:uid="{00000000-0005-0000-0000-00000B020000}"/>
    <cellStyle name="20% - Accent4 16 2 2 3" xfId="2589" xr:uid="{00000000-0005-0000-0000-00000C020000}"/>
    <cellStyle name="20% - Accent4 16 2 2 3 2" xfId="4467" xr:uid="{00000000-0005-0000-0000-00000D020000}"/>
    <cellStyle name="20% - Accent4 16 2 2 4" xfId="3781" xr:uid="{00000000-0005-0000-0000-00000E020000}"/>
    <cellStyle name="20% - Accent4 16 2 3" xfId="437" xr:uid="{00000000-0005-0000-0000-00000F020000}"/>
    <cellStyle name="20% - Accent4 16 2 3 2" xfId="438" xr:uid="{00000000-0005-0000-0000-000010020000}"/>
    <cellStyle name="20% - Accent4 16 2 3 2 2" xfId="2592" xr:uid="{00000000-0005-0000-0000-000011020000}"/>
    <cellStyle name="20% - Accent4 16 2 3 2 2 2" xfId="4470" xr:uid="{00000000-0005-0000-0000-000012020000}"/>
    <cellStyle name="20% - Accent4 16 2 3 2 3" xfId="3784" xr:uid="{00000000-0005-0000-0000-000013020000}"/>
    <cellStyle name="20% - Accent4 16 2 3 3" xfId="2591" xr:uid="{00000000-0005-0000-0000-000014020000}"/>
    <cellStyle name="20% - Accent4 16 2 3 3 2" xfId="4469" xr:uid="{00000000-0005-0000-0000-000015020000}"/>
    <cellStyle name="20% - Accent4 16 2 3 4" xfId="3783" xr:uid="{00000000-0005-0000-0000-000016020000}"/>
    <cellStyle name="20% - Accent4 16 2 4" xfId="439" xr:uid="{00000000-0005-0000-0000-000017020000}"/>
    <cellStyle name="20% - Accent4 16 2 4 2" xfId="440" xr:uid="{00000000-0005-0000-0000-000018020000}"/>
    <cellStyle name="20% - Accent4 16 2 4 2 2" xfId="2594" xr:uid="{00000000-0005-0000-0000-000019020000}"/>
    <cellStyle name="20% - Accent4 16 2 4 2 2 2" xfId="4472" xr:uid="{00000000-0005-0000-0000-00001A020000}"/>
    <cellStyle name="20% - Accent4 16 2 4 2 3" xfId="3786" xr:uid="{00000000-0005-0000-0000-00001B020000}"/>
    <cellStyle name="20% - Accent4 16 2 4 3" xfId="2593" xr:uid="{00000000-0005-0000-0000-00001C020000}"/>
    <cellStyle name="20% - Accent4 16 2 4 3 2" xfId="4471" xr:uid="{00000000-0005-0000-0000-00001D020000}"/>
    <cellStyle name="20% - Accent4 16 2 4 4" xfId="3785" xr:uid="{00000000-0005-0000-0000-00001E020000}"/>
    <cellStyle name="20% - Accent4 16 2 5" xfId="441" xr:uid="{00000000-0005-0000-0000-00001F020000}"/>
    <cellStyle name="20% - Accent4 16 2 5 2" xfId="2595" xr:uid="{00000000-0005-0000-0000-000020020000}"/>
    <cellStyle name="20% - Accent4 16 2 5 2 2" xfId="4473" xr:uid="{00000000-0005-0000-0000-000021020000}"/>
    <cellStyle name="20% - Accent4 16 2 5 3" xfId="3787" xr:uid="{00000000-0005-0000-0000-000022020000}"/>
    <cellStyle name="20% - Accent4 16 2 6" xfId="2246" xr:uid="{00000000-0005-0000-0000-000023020000}"/>
    <cellStyle name="20% - Accent4 16 2 6 2" xfId="2960" xr:uid="{00000000-0005-0000-0000-000024020000}"/>
    <cellStyle name="20% - Accent4 16 2 6 2 2" xfId="4835" xr:uid="{00000000-0005-0000-0000-000025020000}"/>
    <cellStyle name="20% - Accent4 16 2 6 3" xfId="4148" xr:uid="{00000000-0005-0000-0000-000026020000}"/>
    <cellStyle name="20% - Accent4 16 2 7" xfId="2588" xr:uid="{00000000-0005-0000-0000-000027020000}"/>
    <cellStyle name="20% - Accent4 16 2 7 2" xfId="4466" xr:uid="{00000000-0005-0000-0000-000028020000}"/>
    <cellStyle name="20% - Accent4 16 2 8" xfId="3780" xr:uid="{00000000-0005-0000-0000-000029020000}"/>
    <cellStyle name="20% - Accent4 16 3" xfId="442" xr:uid="{00000000-0005-0000-0000-00002A020000}"/>
    <cellStyle name="20% - Accent4 16 3 2" xfId="443" xr:uid="{00000000-0005-0000-0000-00002B020000}"/>
    <cellStyle name="20% - Accent4 16 3 2 2" xfId="2597" xr:uid="{00000000-0005-0000-0000-00002C020000}"/>
    <cellStyle name="20% - Accent4 16 3 2 2 2" xfId="4475" xr:uid="{00000000-0005-0000-0000-00002D020000}"/>
    <cellStyle name="20% - Accent4 16 3 2 3" xfId="3789" xr:uid="{00000000-0005-0000-0000-00002E020000}"/>
    <cellStyle name="20% - Accent4 16 3 3" xfId="2596" xr:uid="{00000000-0005-0000-0000-00002F020000}"/>
    <cellStyle name="20% - Accent4 16 3 3 2" xfId="4474" xr:uid="{00000000-0005-0000-0000-000030020000}"/>
    <cellStyle name="20% - Accent4 16 3 4" xfId="3788" xr:uid="{00000000-0005-0000-0000-000031020000}"/>
    <cellStyle name="20% - Accent4 16 4" xfId="444" xr:uid="{00000000-0005-0000-0000-000032020000}"/>
    <cellStyle name="20% - Accent4 16 4 2" xfId="445" xr:uid="{00000000-0005-0000-0000-000033020000}"/>
    <cellStyle name="20% - Accent4 16 4 2 2" xfId="2599" xr:uid="{00000000-0005-0000-0000-000034020000}"/>
    <cellStyle name="20% - Accent4 16 4 2 2 2" xfId="4477" xr:uid="{00000000-0005-0000-0000-000035020000}"/>
    <cellStyle name="20% - Accent4 16 4 2 3" xfId="3791" xr:uid="{00000000-0005-0000-0000-000036020000}"/>
    <cellStyle name="20% - Accent4 16 4 3" xfId="2598" xr:uid="{00000000-0005-0000-0000-000037020000}"/>
    <cellStyle name="20% - Accent4 16 4 3 2" xfId="4476" xr:uid="{00000000-0005-0000-0000-000038020000}"/>
    <cellStyle name="20% - Accent4 16 4 4" xfId="3790" xr:uid="{00000000-0005-0000-0000-000039020000}"/>
    <cellStyle name="20% - Accent4 16 5" xfId="446" xr:uid="{00000000-0005-0000-0000-00003A020000}"/>
    <cellStyle name="20% - Accent4 16 5 2" xfId="447" xr:uid="{00000000-0005-0000-0000-00003B020000}"/>
    <cellStyle name="20% - Accent4 16 5 2 2" xfId="2601" xr:uid="{00000000-0005-0000-0000-00003C020000}"/>
    <cellStyle name="20% - Accent4 16 5 2 2 2" xfId="4479" xr:uid="{00000000-0005-0000-0000-00003D020000}"/>
    <cellStyle name="20% - Accent4 16 5 2 3" xfId="3793" xr:uid="{00000000-0005-0000-0000-00003E020000}"/>
    <cellStyle name="20% - Accent4 16 5 3" xfId="2600" xr:uid="{00000000-0005-0000-0000-00003F020000}"/>
    <cellStyle name="20% - Accent4 16 5 3 2" xfId="4478" xr:uid="{00000000-0005-0000-0000-000040020000}"/>
    <cellStyle name="20% - Accent4 16 5 4" xfId="3792" xr:uid="{00000000-0005-0000-0000-000041020000}"/>
    <cellStyle name="20% - Accent4 16 6" xfId="448" xr:uid="{00000000-0005-0000-0000-000042020000}"/>
    <cellStyle name="20% - Accent4 16 6 2" xfId="2602" xr:uid="{00000000-0005-0000-0000-000043020000}"/>
    <cellStyle name="20% - Accent4 16 6 2 2" xfId="4480" xr:uid="{00000000-0005-0000-0000-000044020000}"/>
    <cellStyle name="20% - Accent4 16 6 3" xfId="3794" xr:uid="{00000000-0005-0000-0000-000045020000}"/>
    <cellStyle name="20% - Accent4 16 7" xfId="2220" xr:uid="{00000000-0005-0000-0000-000046020000}"/>
    <cellStyle name="20% - Accent4 16 7 2" xfId="2934" xr:uid="{00000000-0005-0000-0000-000047020000}"/>
    <cellStyle name="20% - Accent4 16 7 2 2" xfId="4809" xr:uid="{00000000-0005-0000-0000-000048020000}"/>
    <cellStyle name="20% - Accent4 16 7 3" xfId="4122" xr:uid="{00000000-0005-0000-0000-000049020000}"/>
    <cellStyle name="20% - Accent4 16 8" xfId="2587" xr:uid="{00000000-0005-0000-0000-00004A020000}"/>
    <cellStyle name="20% - Accent4 16 8 2" xfId="4465" xr:uid="{00000000-0005-0000-0000-00004B020000}"/>
    <cellStyle name="20% - Accent4 16 9" xfId="3779" xr:uid="{00000000-0005-0000-0000-00004C020000}"/>
    <cellStyle name="20% - Accent4 17" xfId="449" xr:uid="{00000000-0005-0000-0000-00004D020000}"/>
    <cellStyle name="20% - Accent4 18" xfId="450" xr:uid="{00000000-0005-0000-0000-00004E020000}"/>
    <cellStyle name="20% - Accent4 19" xfId="451" xr:uid="{00000000-0005-0000-0000-00004F020000}"/>
    <cellStyle name="20% - Accent4 2" xfId="452" xr:uid="{00000000-0005-0000-0000-000050020000}"/>
    <cellStyle name="20% - Accent4 2 2" xfId="453" xr:uid="{00000000-0005-0000-0000-000051020000}"/>
    <cellStyle name="20% - Accent4 2 3" xfId="454" xr:uid="{00000000-0005-0000-0000-000052020000}"/>
    <cellStyle name="20% - Accent4 2 4" xfId="455" xr:uid="{00000000-0005-0000-0000-000053020000}"/>
    <cellStyle name="20% - Accent4 2 5" xfId="456" xr:uid="{00000000-0005-0000-0000-000054020000}"/>
    <cellStyle name="20% - Accent4 20" xfId="457" xr:uid="{00000000-0005-0000-0000-000055020000}"/>
    <cellStyle name="20% - Accent4 21" xfId="458" xr:uid="{00000000-0005-0000-0000-000056020000}"/>
    <cellStyle name="20% - Accent4 21 2" xfId="459" xr:uid="{00000000-0005-0000-0000-000057020000}"/>
    <cellStyle name="20% - Accent4 21 2 2" xfId="460" xr:uid="{00000000-0005-0000-0000-000058020000}"/>
    <cellStyle name="20% - Accent4 21 2 2 2" xfId="2605" xr:uid="{00000000-0005-0000-0000-000059020000}"/>
    <cellStyle name="20% - Accent4 21 2 2 2 2" xfId="4483" xr:uid="{00000000-0005-0000-0000-00005A020000}"/>
    <cellStyle name="20% - Accent4 21 2 2 3" xfId="3797" xr:uid="{00000000-0005-0000-0000-00005B020000}"/>
    <cellStyle name="20% - Accent4 21 2 3" xfId="2604" xr:uid="{00000000-0005-0000-0000-00005C020000}"/>
    <cellStyle name="20% - Accent4 21 2 3 2" xfId="4482" xr:uid="{00000000-0005-0000-0000-00005D020000}"/>
    <cellStyle name="20% - Accent4 21 2 4" xfId="3796" xr:uid="{00000000-0005-0000-0000-00005E020000}"/>
    <cellStyle name="20% - Accent4 21 3" xfId="461" xr:uid="{00000000-0005-0000-0000-00005F020000}"/>
    <cellStyle name="20% - Accent4 21 3 2" xfId="462" xr:uid="{00000000-0005-0000-0000-000060020000}"/>
    <cellStyle name="20% - Accent4 21 3 2 2" xfId="2607" xr:uid="{00000000-0005-0000-0000-000061020000}"/>
    <cellStyle name="20% - Accent4 21 3 2 2 2" xfId="4485" xr:uid="{00000000-0005-0000-0000-000062020000}"/>
    <cellStyle name="20% - Accent4 21 3 2 3" xfId="3799" xr:uid="{00000000-0005-0000-0000-000063020000}"/>
    <cellStyle name="20% - Accent4 21 3 3" xfId="2606" xr:uid="{00000000-0005-0000-0000-000064020000}"/>
    <cellStyle name="20% - Accent4 21 3 3 2" xfId="4484" xr:uid="{00000000-0005-0000-0000-000065020000}"/>
    <cellStyle name="20% - Accent4 21 3 4" xfId="3798" xr:uid="{00000000-0005-0000-0000-000066020000}"/>
    <cellStyle name="20% - Accent4 21 4" xfId="463" xr:uid="{00000000-0005-0000-0000-000067020000}"/>
    <cellStyle name="20% - Accent4 21 4 2" xfId="464" xr:uid="{00000000-0005-0000-0000-000068020000}"/>
    <cellStyle name="20% - Accent4 21 4 2 2" xfId="2609" xr:uid="{00000000-0005-0000-0000-000069020000}"/>
    <cellStyle name="20% - Accent4 21 4 2 2 2" xfId="4487" xr:uid="{00000000-0005-0000-0000-00006A020000}"/>
    <cellStyle name="20% - Accent4 21 4 2 3" xfId="3801" xr:uid="{00000000-0005-0000-0000-00006B020000}"/>
    <cellStyle name="20% - Accent4 21 4 3" xfId="2608" xr:uid="{00000000-0005-0000-0000-00006C020000}"/>
    <cellStyle name="20% - Accent4 21 4 3 2" xfId="4486" xr:uid="{00000000-0005-0000-0000-00006D020000}"/>
    <cellStyle name="20% - Accent4 21 4 4" xfId="3800" xr:uid="{00000000-0005-0000-0000-00006E020000}"/>
    <cellStyle name="20% - Accent4 21 5" xfId="465" xr:uid="{00000000-0005-0000-0000-00006F020000}"/>
    <cellStyle name="20% - Accent4 21 5 2" xfId="2610" xr:uid="{00000000-0005-0000-0000-000070020000}"/>
    <cellStyle name="20% - Accent4 21 5 2 2" xfId="4488" xr:uid="{00000000-0005-0000-0000-000071020000}"/>
    <cellStyle name="20% - Accent4 21 5 3" xfId="3802" xr:uid="{00000000-0005-0000-0000-000072020000}"/>
    <cellStyle name="20% - Accent4 21 6" xfId="2229" xr:uid="{00000000-0005-0000-0000-000073020000}"/>
    <cellStyle name="20% - Accent4 21 6 2" xfId="2943" xr:uid="{00000000-0005-0000-0000-000074020000}"/>
    <cellStyle name="20% - Accent4 21 6 2 2" xfId="4818" xr:uid="{00000000-0005-0000-0000-000075020000}"/>
    <cellStyle name="20% - Accent4 21 6 3" xfId="4131" xr:uid="{00000000-0005-0000-0000-000076020000}"/>
    <cellStyle name="20% - Accent4 21 7" xfId="2603" xr:uid="{00000000-0005-0000-0000-000077020000}"/>
    <cellStyle name="20% - Accent4 21 7 2" xfId="4481" xr:uid="{00000000-0005-0000-0000-000078020000}"/>
    <cellStyle name="20% - Accent4 21 8" xfId="3795" xr:uid="{00000000-0005-0000-0000-000079020000}"/>
    <cellStyle name="20% - Accent4 22" xfId="466" xr:uid="{00000000-0005-0000-0000-00007A020000}"/>
    <cellStyle name="20% - Accent4 22 2" xfId="467" xr:uid="{00000000-0005-0000-0000-00007B020000}"/>
    <cellStyle name="20% - Accent4 22 2 2" xfId="2612" xr:uid="{00000000-0005-0000-0000-00007C020000}"/>
    <cellStyle name="20% - Accent4 22 2 2 2" xfId="4490" xr:uid="{00000000-0005-0000-0000-00007D020000}"/>
    <cellStyle name="20% - Accent4 22 2 3" xfId="3804" xr:uid="{00000000-0005-0000-0000-00007E020000}"/>
    <cellStyle name="20% - Accent4 22 3" xfId="2611" xr:uid="{00000000-0005-0000-0000-00007F020000}"/>
    <cellStyle name="20% - Accent4 22 3 2" xfId="4489" xr:uid="{00000000-0005-0000-0000-000080020000}"/>
    <cellStyle name="20% - Accent4 22 4" xfId="3803" xr:uid="{00000000-0005-0000-0000-000081020000}"/>
    <cellStyle name="20% - Accent4 23" xfId="468" xr:uid="{00000000-0005-0000-0000-000082020000}"/>
    <cellStyle name="20% - Accent4 23 2" xfId="469" xr:uid="{00000000-0005-0000-0000-000083020000}"/>
    <cellStyle name="20% - Accent4 23 2 2" xfId="2614" xr:uid="{00000000-0005-0000-0000-000084020000}"/>
    <cellStyle name="20% - Accent4 23 2 2 2" xfId="4492" xr:uid="{00000000-0005-0000-0000-000085020000}"/>
    <cellStyle name="20% - Accent4 23 2 3" xfId="3806" xr:uid="{00000000-0005-0000-0000-000086020000}"/>
    <cellStyle name="20% - Accent4 23 3" xfId="2613" xr:uid="{00000000-0005-0000-0000-000087020000}"/>
    <cellStyle name="20% - Accent4 23 3 2" xfId="4491" xr:uid="{00000000-0005-0000-0000-000088020000}"/>
    <cellStyle name="20% - Accent4 23 4" xfId="3805" xr:uid="{00000000-0005-0000-0000-000089020000}"/>
    <cellStyle name="20% - Accent4 24" xfId="470" xr:uid="{00000000-0005-0000-0000-00008A020000}"/>
    <cellStyle name="20% - Accent4 24 2" xfId="471" xr:uid="{00000000-0005-0000-0000-00008B020000}"/>
    <cellStyle name="20% - Accent4 24 2 2" xfId="2616" xr:uid="{00000000-0005-0000-0000-00008C020000}"/>
    <cellStyle name="20% - Accent4 24 2 2 2" xfId="4494" xr:uid="{00000000-0005-0000-0000-00008D020000}"/>
    <cellStyle name="20% - Accent4 24 2 3" xfId="3808" xr:uid="{00000000-0005-0000-0000-00008E020000}"/>
    <cellStyle name="20% - Accent4 24 3" xfId="2615" xr:uid="{00000000-0005-0000-0000-00008F020000}"/>
    <cellStyle name="20% - Accent4 24 3 2" xfId="4493" xr:uid="{00000000-0005-0000-0000-000090020000}"/>
    <cellStyle name="20% - Accent4 24 4" xfId="3807" xr:uid="{00000000-0005-0000-0000-000091020000}"/>
    <cellStyle name="20% - Accent4 25" xfId="472" xr:uid="{00000000-0005-0000-0000-000092020000}"/>
    <cellStyle name="20% - Accent4 25 2" xfId="2617" xr:uid="{00000000-0005-0000-0000-000093020000}"/>
    <cellStyle name="20% - Accent4 25 2 2" xfId="4495" xr:uid="{00000000-0005-0000-0000-000094020000}"/>
    <cellStyle name="20% - Accent4 25 3" xfId="3809" xr:uid="{00000000-0005-0000-0000-000095020000}"/>
    <cellStyle name="20% - Accent4 26" xfId="2203" xr:uid="{00000000-0005-0000-0000-000096020000}"/>
    <cellStyle name="20% - Accent4 26 2" xfId="2917" xr:uid="{00000000-0005-0000-0000-000097020000}"/>
    <cellStyle name="20% - Accent4 26 2 2" xfId="4792" xr:uid="{00000000-0005-0000-0000-000098020000}"/>
    <cellStyle name="20% - Accent4 26 3" xfId="4105" xr:uid="{00000000-0005-0000-0000-000099020000}"/>
    <cellStyle name="20% - Accent4 27" xfId="2487" xr:uid="{00000000-0005-0000-0000-00009A020000}"/>
    <cellStyle name="20% - Accent4 27 2" xfId="4366" xr:uid="{00000000-0005-0000-0000-00009B020000}"/>
    <cellStyle name="20% - Accent4 28" xfId="3678" xr:uid="{00000000-0005-0000-0000-00009C020000}"/>
    <cellStyle name="20% - Accent4 3" xfId="473" xr:uid="{00000000-0005-0000-0000-00009D020000}"/>
    <cellStyle name="20% - Accent4 4" xfId="474" xr:uid="{00000000-0005-0000-0000-00009E020000}"/>
    <cellStyle name="20% - Accent4 5" xfId="475" xr:uid="{00000000-0005-0000-0000-00009F020000}"/>
    <cellStyle name="20% - Accent4 6" xfId="476" xr:uid="{00000000-0005-0000-0000-0000A0020000}"/>
    <cellStyle name="20% - Accent4 7" xfId="477" xr:uid="{00000000-0005-0000-0000-0000A1020000}"/>
    <cellStyle name="20% - Accent4 8" xfId="478" xr:uid="{00000000-0005-0000-0000-0000A2020000}"/>
    <cellStyle name="20% - Accent4 9" xfId="479" xr:uid="{00000000-0005-0000-0000-0000A3020000}"/>
    <cellStyle name="20% - Accent5" xfId="246" builtinId="46" customBuiltin="1"/>
    <cellStyle name="20% - Accent5 10" xfId="480" xr:uid="{00000000-0005-0000-0000-0000A5020000}"/>
    <cellStyle name="20% - Accent5 11" xfId="481" xr:uid="{00000000-0005-0000-0000-0000A6020000}"/>
    <cellStyle name="20% - Accent5 12" xfId="482" xr:uid="{00000000-0005-0000-0000-0000A7020000}"/>
    <cellStyle name="20% - Accent5 13" xfId="483" xr:uid="{00000000-0005-0000-0000-0000A8020000}"/>
    <cellStyle name="20% - Accent5 14" xfId="484" xr:uid="{00000000-0005-0000-0000-0000A9020000}"/>
    <cellStyle name="20% - Accent5 15" xfId="485" xr:uid="{00000000-0005-0000-0000-0000AA020000}"/>
    <cellStyle name="20% - Accent5 16" xfId="486" xr:uid="{00000000-0005-0000-0000-0000AB020000}"/>
    <cellStyle name="20% - Accent5 16 2" xfId="487" xr:uid="{00000000-0005-0000-0000-0000AC020000}"/>
    <cellStyle name="20% - Accent5 16 2 2" xfId="488" xr:uid="{00000000-0005-0000-0000-0000AD020000}"/>
    <cellStyle name="20% - Accent5 16 2 2 2" xfId="489" xr:uid="{00000000-0005-0000-0000-0000AE020000}"/>
    <cellStyle name="20% - Accent5 16 2 2 2 2" xfId="2621" xr:uid="{00000000-0005-0000-0000-0000AF020000}"/>
    <cellStyle name="20% - Accent5 16 2 2 2 2 2" xfId="4499" xr:uid="{00000000-0005-0000-0000-0000B0020000}"/>
    <cellStyle name="20% - Accent5 16 2 2 2 3" xfId="3813" xr:uid="{00000000-0005-0000-0000-0000B1020000}"/>
    <cellStyle name="20% - Accent5 16 2 2 3" xfId="2620" xr:uid="{00000000-0005-0000-0000-0000B2020000}"/>
    <cellStyle name="20% - Accent5 16 2 2 3 2" xfId="4498" xr:uid="{00000000-0005-0000-0000-0000B3020000}"/>
    <cellStyle name="20% - Accent5 16 2 2 4" xfId="3812" xr:uid="{00000000-0005-0000-0000-0000B4020000}"/>
    <cellStyle name="20% - Accent5 16 2 3" xfId="490" xr:uid="{00000000-0005-0000-0000-0000B5020000}"/>
    <cellStyle name="20% - Accent5 16 2 3 2" xfId="491" xr:uid="{00000000-0005-0000-0000-0000B6020000}"/>
    <cellStyle name="20% - Accent5 16 2 3 2 2" xfId="2623" xr:uid="{00000000-0005-0000-0000-0000B7020000}"/>
    <cellStyle name="20% - Accent5 16 2 3 2 2 2" xfId="4501" xr:uid="{00000000-0005-0000-0000-0000B8020000}"/>
    <cellStyle name="20% - Accent5 16 2 3 2 3" xfId="3815" xr:uid="{00000000-0005-0000-0000-0000B9020000}"/>
    <cellStyle name="20% - Accent5 16 2 3 3" xfId="2622" xr:uid="{00000000-0005-0000-0000-0000BA020000}"/>
    <cellStyle name="20% - Accent5 16 2 3 3 2" xfId="4500" xr:uid="{00000000-0005-0000-0000-0000BB020000}"/>
    <cellStyle name="20% - Accent5 16 2 3 4" xfId="3814" xr:uid="{00000000-0005-0000-0000-0000BC020000}"/>
    <cellStyle name="20% - Accent5 16 2 4" xfId="492" xr:uid="{00000000-0005-0000-0000-0000BD020000}"/>
    <cellStyle name="20% - Accent5 16 2 4 2" xfId="493" xr:uid="{00000000-0005-0000-0000-0000BE020000}"/>
    <cellStyle name="20% - Accent5 16 2 4 2 2" xfId="2625" xr:uid="{00000000-0005-0000-0000-0000BF020000}"/>
    <cellStyle name="20% - Accent5 16 2 4 2 2 2" xfId="4503" xr:uid="{00000000-0005-0000-0000-0000C0020000}"/>
    <cellStyle name="20% - Accent5 16 2 4 2 3" xfId="3817" xr:uid="{00000000-0005-0000-0000-0000C1020000}"/>
    <cellStyle name="20% - Accent5 16 2 4 3" xfId="2624" xr:uid="{00000000-0005-0000-0000-0000C2020000}"/>
    <cellStyle name="20% - Accent5 16 2 4 3 2" xfId="4502" xr:uid="{00000000-0005-0000-0000-0000C3020000}"/>
    <cellStyle name="20% - Accent5 16 2 4 4" xfId="3816" xr:uid="{00000000-0005-0000-0000-0000C4020000}"/>
    <cellStyle name="20% - Accent5 16 2 5" xfId="494" xr:uid="{00000000-0005-0000-0000-0000C5020000}"/>
    <cellStyle name="20% - Accent5 16 2 5 2" xfId="2626" xr:uid="{00000000-0005-0000-0000-0000C6020000}"/>
    <cellStyle name="20% - Accent5 16 2 5 2 2" xfId="4504" xr:uid="{00000000-0005-0000-0000-0000C7020000}"/>
    <cellStyle name="20% - Accent5 16 2 5 3" xfId="3818" xr:uid="{00000000-0005-0000-0000-0000C8020000}"/>
    <cellStyle name="20% - Accent5 16 2 6" xfId="2248" xr:uid="{00000000-0005-0000-0000-0000C9020000}"/>
    <cellStyle name="20% - Accent5 16 2 6 2" xfId="2962" xr:uid="{00000000-0005-0000-0000-0000CA020000}"/>
    <cellStyle name="20% - Accent5 16 2 6 2 2" xfId="4837" xr:uid="{00000000-0005-0000-0000-0000CB020000}"/>
    <cellStyle name="20% - Accent5 16 2 6 3" xfId="4150" xr:uid="{00000000-0005-0000-0000-0000CC020000}"/>
    <cellStyle name="20% - Accent5 16 2 7" xfId="2619" xr:uid="{00000000-0005-0000-0000-0000CD020000}"/>
    <cellStyle name="20% - Accent5 16 2 7 2" xfId="4497" xr:uid="{00000000-0005-0000-0000-0000CE020000}"/>
    <cellStyle name="20% - Accent5 16 2 8" xfId="3811" xr:uid="{00000000-0005-0000-0000-0000CF020000}"/>
    <cellStyle name="20% - Accent5 16 3" xfId="495" xr:uid="{00000000-0005-0000-0000-0000D0020000}"/>
    <cellStyle name="20% - Accent5 16 3 2" xfId="496" xr:uid="{00000000-0005-0000-0000-0000D1020000}"/>
    <cellStyle name="20% - Accent5 16 3 2 2" xfId="2628" xr:uid="{00000000-0005-0000-0000-0000D2020000}"/>
    <cellStyle name="20% - Accent5 16 3 2 2 2" xfId="4506" xr:uid="{00000000-0005-0000-0000-0000D3020000}"/>
    <cellStyle name="20% - Accent5 16 3 2 3" xfId="3820" xr:uid="{00000000-0005-0000-0000-0000D4020000}"/>
    <cellStyle name="20% - Accent5 16 3 3" xfId="2627" xr:uid="{00000000-0005-0000-0000-0000D5020000}"/>
    <cellStyle name="20% - Accent5 16 3 3 2" xfId="4505" xr:uid="{00000000-0005-0000-0000-0000D6020000}"/>
    <cellStyle name="20% - Accent5 16 3 4" xfId="3819" xr:uid="{00000000-0005-0000-0000-0000D7020000}"/>
    <cellStyle name="20% - Accent5 16 4" xfId="497" xr:uid="{00000000-0005-0000-0000-0000D8020000}"/>
    <cellStyle name="20% - Accent5 16 4 2" xfId="498" xr:uid="{00000000-0005-0000-0000-0000D9020000}"/>
    <cellStyle name="20% - Accent5 16 4 2 2" xfId="2630" xr:uid="{00000000-0005-0000-0000-0000DA020000}"/>
    <cellStyle name="20% - Accent5 16 4 2 2 2" xfId="4508" xr:uid="{00000000-0005-0000-0000-0000DB020000}"/>
    <cellStyle name="20% - Accent5 16 4 2 3" xfId="3822" xr:uid="{00000000-0005-0000-0000-0000DC020000}"/>
    <cellStyle name="20% - Accent5 16 4 3" xfId="2629" xr:uid="{00000000-0005-0000-0000-0000DD020000}"/>
    <cellStyle name="20% - Accent5 16 4 3 2" xfId="4507" xr:uid="{00000000-0005-0000-0000-0000DE020000}"/>
    <cellStyle name="20% - Accent5 16 4 4" xfId="3821" xr:uid="{00000000-0005-0000-0000-0000DF020000}"/>
    <cellStyle name="20% - Accent5 16 5" xfId="499" xr:uid="{00000000-0005-0000-0000-0000E0020000}"/>
    <cellStyle name="20% - Accent5 16 5 2" xfId="500" xr:uid="{00000000-0005-0000-0000-0000E1020000}"/>
    <cellStyle name="20% - Accent5 16 5 2 2" xfId="2632" xr:uid="{00000000-0005-0000-0000-0000E2020000}"/>
    <cellStyle name="20% - Accent5 16 5 2 2 2" xfId="4510" xr:uid="{00000000-0005-0000-0000-0000E3020000}"/>
    <cellStyle name="20% - Accent5 16 5 2 3" xfId="3824" xr:uid="{00000000-0005-0000-0000-0000E4020000}"/>
    <cellStyle name="20% - Accent5 16 5 3" xfId="2631" xr:uid="{00000000-0005-0000-0000-0000E5020000}"/>
    <cellStyle name="20% - Accent5 16 5 3 2" xfId="4509" xr:uid="{00000000-0005-0000-0000-0000E6020000}"/>
    <cellStyle name="20% - Accent5 16 5 4" xfId="3823" xr:uid="{00000000-0005-0000-0000-0000E7020000}"/>
    <cellStyle name="20% - Accent5 16 6" xfId="501" xr:uid="{00000000-0005-0000-0000-0000E8020000}"/>
    <cellStyle name="20% - Accent5 16 6 2" xfId="2633" xr:uid="{00000000-0005-0000-0000-0000E9020000}"/>
    <cellStyle name="20% - Accent5 16 6 2 2" xfId="4511" xr:uid="{00000000-0005-0000-0000-0000EA020000}"/>
    <cellStyle name="20% - Accent5 16 6 3" xfId="3825" xr:uid="{00000000-0005-0000-0000-0000EB020000}"/>
    <cellStyle name="20% - Accent5 16 7" xfId="2222" xr:uid="{00000000-0005-0000-0000-0000EC020000}"/>
    <cellStyle name="20% - Accent5 16 7 2" xfId="2936" xr:uid="{00000000-0005-0000-0000-0000ED020000}"/>
    <cellStyle name="20% - Accent5 16 7 2 2" xfId="4811" xr:uid="{00000000-0005-0000-0000-0000EE020000}"/>
    <cellStyle name="20% - Accent5 16 7 3" xfId="4124" xr:uid="{00000000-0005-0000-0000-0000EF020000}"/>
    <cellStyle name="20% - Accent5 16 8" xfId="2618" xr:uid="{00000000-0005-0000-0000-0000F0020000}"/>
    <cellStyle name="20% - Accent5 16 8 2" xfId="4496" xr:uid="{00000000-0005-0000-0000-0000F1020000}"/>
    <cellStyle name="20% - Accent5 16 9" xfId="3810" xr:uid="{00000000-0005-0000-0000-0000F2020000}"/>
    <cellStyle name="20% - Accent5 17" xfId="502" xr:uid="{00000000-0005-0000-0000-0000F3020000}"/>
    <cellStyle name="20% - Accent5 18" xfId="503" xr:uid="{00000000-0005-0000-0000-0000F4020000}"/>
    <cellStyle name="20% - Accent5 19" xfId="504" xr:uid="{00000000-0005-0000-0000-0000F5020000}"/>
    <cellStyle name="20% - Accent5 2" xfId="505" xr:uid="{00000000-0005-0000-0000-0000F6020000}"/>
    <cellStyle name="20% - Accent5 2 2" xfId="506" xr:uid="{00000000-0005-0000-0000-0000F7020000}"/>
    <cellStyle name="20% - Accent5 2 3" xfId="507" xr:uid="{00000000-0005-0000-0000-0000F8020000}"/>
    <cellStyle name="20% - Accent5 2 4" xfId="508" xr:uid="{00000000-0005-0000-0000-0000F9020000}"/>
    <cellStyle name="20% - Accent5 2 5" xfId="509" xr:uid="{00000000-0005-0000-0000-0000FA020000}"/>
    <cellStyle name="20% - Accent5 20" xfId="510" xr:uid="{00000000-0005-0000-0000-0000FB020000}"/>
    <cellStyle name="20% - Accent5 21" xfId="511" xr:uid="{00000000-0005-0000-0000-0000FC020000}"/>
    <cellStyle name="20% - Accent5 21 2" xfId="512" xr:uid="{00000000-0005-0000-0000-0000FD020000}"/>
    <cellStyle name="20% - Accent5 21 2 2" xfId="513" xr:uid="{00000000-0005-0000-0000-0000FE020000}"/>
    <cellStyle name="20% - Accent5 21 2 2 2" xfId="2636" xr:uid="{00000000-0005-0000-0000-0000FF020000}"/>
    <cellStyle name="20% - Accent5 21 2 2 2 2" xfId="4514" xr:uid="{00000000-0005-0000-0000-000000030000}"/>
    <cellStyle name="20% - Accent5 21 2 2 3" xfId="3828" xr:uid="{00000000-0005-0000-0000-000001030000}"/>
    <cellStyle name="20% - Accent5 21 2 3" xfId="2635" xr:uid="{00000000-0005-0000-0000-000002030000}"/>
    <cellStyle name="20% - Accent5 21 2 3 2" xfId="4513" xr:uid="{00000000-0005-0000-0000-000003030000}"/>
    <cellStyle name="20% - Accent5 21 2 4" xfId="3827" xr:uid="{00000000-0005-0000-0000-000004030000}"/>
    <cellStyle name="20% - Accent5 21 3" xfId="514" xr:uid="{00000000-0005-0000-0000-000005030000}"/>
    <cellStyle name="20% - Accent5 21 3 2" xfId="515" xr:uid="{00000000-0005-0000-0000-000006030000}"/>
    <cellStyle name="20% - Accent5 21 3 2 2" xfId="2638" xr:uid="{00000000-0005-0000-0000-000007030000}"/>
    <cellStyle name="20% - Accent5 21 3 2 2 2" xfId="4516" xr:uid="{00000000-0005-0000-0000-000008030000}"/>
    <cellStyle name="20% - Accent5 21 3 2 3" xfId="3830" xr:uid="{00000000-0005-0000-0000-000009030000}"/>
    <cellStyle name="20% - Accent5 21 3 3" xfId="2637" xr:uid="{00000000-0005-0000-0000-00000A030000}"/>
    <cellStyle name="20% - Accent5 21 3 3 2" xfId="4515" xr:uid="{00000000-0005-0000-0000-00000B030000}"/>
    <cellStyle name="20% - Accent5 21 3 4" xfId="3829" xr:uid="{00000000-0005-0000-0000-00000C030000}"/>
    <cellStyle name="20% - Accent5 21 4" xfId="516" xr:uid="{00000000-0005-0000-0000-00000D030000}"/>
    <cellStyle name="20% - Accent5 21 4 2" xfId="517" xr:uid="{00000000-0005-0000-0000-00000E030000}"/>
    <cellStyle name="20% - Accent5 21 4 2 2" xfId="2640" xr:uid="{00000000-0005-0000-0000-00000F030000}"/>
    <cellStyle name="20% - Accent5 21 4 2 2 2" xfId="4518" xr:uid="{00000000-0005-0000-0000-000010030000}"/>
    <cellStyle name="20% - Accent5 21 4 2 3" xfId="3832" xr:uid="{00000000-0005-0000-0000-000011030000}"/>
    <cellStyle name="20% - Accent5 21 4 3" xfId="2639" xr:uid="{00000000-0005-0000-0000-000012030000}"/>
    <cellStyle name="20% - Accent5 21 4 3 2" xfId="4517" xr:uid="{00000000-0005-0000-0000-000013030000}"/>
    <cellStyle name="20% - Accent5 21 4 4" xfId="3831" xr:uid="{00000000-0005-0000-0000-000014030000}"/>
    <cellStyle name="20% - Accent5 21 5" xfId="518" xr:uid="{00000000-0005-0000-0000-000015030000}"/>
    <cellStyle name="20% - Accent5 21 5 2" xfId="2641" xr:uid="{00000000-0005-0000-0000-000016030000}"/>
    <cellStyle name="20% - Accent5 21 5 2 2" xfId="4519" xr:uid="{00000000-0005-0000-0000-000017030000}"/>
    <cellStyle name="20% - Accent5 21 5 3" xfId="3833" xr:uid="{00000000-0005-0000-0000-000018030000}"/>
    <cellStyle name="20% - Accent5 21 6" xfId="2230" xr:uid="{00000000-0005-0000-0000-000019030000}"/>
    <cellStyle name="20% - Accent5 21 6 2" xfId="2944" xr:uid="{00000000-0005-0000-0000-00001A030000}"/>
    <cellStyle name="20% - Accent5 21 6 2 2" xfId="4819" xr:uid="{00000000-0005-0000-0000-00001B030000}"/>
    <cellStyle name="20% - Accent5 21 6 3" xfId="4132" xr:uid="{00000000-0005-0000-0000-00001C030000}"/>
    <cellStyle name="20% - Accent5 21 7" xfId="2634" xr:uid="{00000000-0005-0000-0000-00001D030000}"/>
    <cellStyle name="20% - Accent5 21 7 2" xfId="4512" xr:uid="{00000000-0005-0000-0000-00001E030000}"/>
    <cellStyle name="20% - Accent5 21 8" xfId="3826" xr:uid="{00000000-0005-0000-0000-00001F030000}"/>
    <cellStyle name="20% - Accent5 22" xfId="519" xr:uid="{00000000-0005-0000-0000-000020030000}"/>
    <cellStyle name="20% - Accent5 22 2" xfId="520" xr:uid="{00000000-0005-0000-0000-000021030000}"/>
    <cellStyle name="20% - Accent5 22 2 2" xfId="2643" xr:uid="{00000000-0005-0000-0000-000022030000}"/>
    <cellStyle name="20% - Accent5 22 2 2 2" xfId="4521" xr:uid="{00000000-0005-0000-0000-000023030000}"/>
    <cellStyle name="20% - Accent5 22 2 3" xfId="3835" xr:uid="{00000000-0005-0000-0000-000024030000}"/>
    <cellStyle name="20% - Accent5 22 3" xfId="2642" xr:uid="{00000000-0005-0000-0000-000025030000}"/>
    <cellStyle name="20% - Accent5 22 3 2" xfId="4520" xr:uid="{00000000-0005-0000-0000-000026030000}"/>
    <cellStyle name="20% - Accent5 22 4" xfId="3834" xr:uid="{00000000-0005-0000-0000-000027030000}"/>
    <cellStyle name="20% - Accent5 23" xfId="521" xr:uid="{00000000-0005-0000-0000-000028030000}"/>
    <cellStyle name="20% - Accent5 23 2" xfId="522" xr:uid="{00000000-0005-0000-0000-000029030000}"/>
    <cellStyle name="20% - Accent5 23 2 2" xfId="2645" xr:uid="{00000000-0005-0000-0000-00002A030000}"/>
    <cellStyle name="20% - Accent5 23 2 2 2" xfId="4523" xr:uid="{00000000-0005-0000-0000-00002B030000}"/>
    <cellStyle name="20% - Accent5 23 2 3" xfId="3837" xr:uid="{00000000-0005-0000-0000-00002C030000}"/>
    <cellStyle name="20% - Accent5 23 3" xfId="2644" xr:uid="{00000000-0005-0000-0000-00002D030000}"/>
    <cellStyle name="20% - Accent5 23 3 2" xfId="4522" xr:uid="{00000000-0005-0000-0000-00002E030000}"/>
    <cellStyle name="20% - Accent5 23 4" xfId="3836" xr:uid="{00000000-0005-0000-0000-00002F030000}"/>
    <cellStyle name="20% - Accent5 24" xfId="523" xr:uid="{00000000-0005-0000-0000-000030030000}"/>
    <cellStyle name="20% - Accent5 24 2" xfId="524" xr:uid="{00000000-0005-0000-0000-000031030000}"/>
    <cellStyle name="20% - Accent5 24 2 2" xfId="2647" xr:uid="{00000000-0005-0000-0000-000032030000}"/>
    <cellStyle name="20% - Accent5 24 2 2 2" xfId="4525" xr:uid="{00000000-0005-0000-0000-000033030000}"/>
    <cellStyle name="20% - Accent5 24 2 3" xfId="3839" xr:uid="{00000000-0005-0000-0000-000034030000}"/>
    <cellStyle name="20% - Accent5 24 3" xfId="2646" xr:uid="{00000000-0005-0000-0000-000035030000}"/>
    <cellStyle name="20% - Accent5 24 3 2" xfId="4524" xr:uid="{00000000-0005-0000-0000-000036030000}"/>
    <cellStyle name="20% - Accent5 24 4" xfId="3838" xr:uid="{00000000-0005-0000-0000-000037030000}"/>
    <cellStyle name="20% - Accent5 25" xfId="525" xr:uid="{00000000-0005-0000-0000-000038030000}"/>
    <cellStyle name="20% - Accent5 25 2" xfId="2648" xr:uid="{00000000-0005-0000-0000-000039030000}"/>
    <cellStyle name="20% - Accent5 25 2 2" xfId="4526" xr:uid="{00000000-0005-0000-0000-00003A030000}"/>
    <cellStyle name="20% - Accent5 25 3" xfId="3840" xr:uid="{00000000-0005-0000-0000-00003B030000}"/>
    <cellStyle name="20% - Accent5 26" xfId="2204" xr:uid="{00000000-0005-0000-0000-00003C030000}"/>
    <cellStyle name="20% - Accent5 26 2" xfId="2918" xr:uid="{00000000-0005-0000-0000-00003D030000}"/>
    <cellStyle name="20% - Accent5 26 2 2" xfId="4793" xr:uid="{00000000-0005-0000-0000-00003E030000}"/>
    <cellStyle name="20% - Accent5 26 3" xfId="4106" xr:uid="{00000000-0005-0000-0000-00003F030000}"/>
    <cellStyle name="20% - Accent5 27" xfId="2489" xr:uid="{00000000-0005-0000-0000-000040030000}"/>
    <cellStyle name="20% - Accent5 27 2" xfId="4368" xr:uid="{00000000-0005-0000-0000-000041030000}"/>
    <cellStyle name="20% - Accent5 28" xfId="3680" xr:uid="{00000000-0005-0000-0000-000042030000}"/>
    <cellStyle name="20% - Accent5 3" xfId="526" xr:uid="{00000000-0005-0000-0000-000043030000}"/>
    <cellStyle name="20% - Accent5 4" xfId="527" xr:uid="{00000000-0005-0000-0000-000044030000}"/>
    <cellStyle name="20% - Accent5 5" xfId="528" xr:uid="{00000000-0005-0000-0000-000045030000}"/>
    <cellStyle name="20% - Accent5 6" xfId="529" xr:uid="{00000000-0005-0000-0000-000046030000}"/>
    <cellStyle name="20% - Accent5 7" xfId="530" xr:uid="{00000000-0005-0000-0000-000047030000}"/>
    <cellStyle name="20% - Accent5 8" xfId="531" xr:uid="{00000000-0005-0000-0000-000048030000}"/>
    <cellStyle name="20% - Accent5 9" xfId="532" xr:uid="{00000000-0005-0000-0000-000049030000}"/>
    <cellStyle name="20% - Accent6" xfId="250" builtinId="50" customBuiltin="1"/>
    <cellStyle name="20% - Accent6 10" xfId="533" xr:uid="{00000000-0005-0000-0000-00004B030000}"/>
    <cellStyle name="20% - Accent6 11" xfId="534" xr:uid="{00000000-0005-0000-0000-00004C030000}"/>
    <cellStyle name="20% - Accent6 12" xfId="535" xr:uid="{00000000-0005-0000-0000-00004D030000}"/>
    <cellStyle name="20% - Accent6 13" xfId="536" xr:uid="{00000000-0005-0000-0000-00004E030000}"/>
    <cellStyle name="20% - Accent6 14" xfId="537" xr:uid="{00000000-0005-0000-0000-00004F030000}"/>
    <cellStyle name="20% - Accent6 15" xfId="538" xr:uid="{00000000-0005-0000-0000-000050030000}"/>
    <cellStyle name="20% - Accent6 16" xfId="539" xr:uid="{00000000-0005-0000-0000-000051030000}"/>
    <cellStyle name="20% - Accent6 16 2" xfId="540" xr:uid="{00000000-0005-0000-0000-000052030000}"/>
    <cellStyle name="20% - Accent6 16 2 2" xfId="541" xr:uid="{00000000-0005-0000-0000-000053030000}"/>
    <cellStyle name="20% - Accent6 16 2 2 2" xfId="542" xr:uid="{00000000-0005-0000-0000-000054030000}"/>
    <cellStyle name="20% - Accent6 16 2 2 2 2" xfId="2652" xr:uid="{00000000-0005-0000-0000-000055030000}"/>
    <cellStyle name="20% - Accent6 16 2 2 2 2 2" xfId="4530" xr:uid="{00000000-0005-0000-0000-000056030000}"/>
    <cellStyle name="20% - Accent6 16 2 2 2 3" xfId="3844" xr:uid="{00000000-0005-0000-0000-000057030000}"/>
    <cellStyle name="20% - Accent6 16 2 2 3" xfId="2651" xr:uid="{00000000-0005-0000-0000-000058030000}"/>
    <cellStyle name="20% - Accent6 16 2 2 3 2" xfId="4529" xr:uid="{00000000-0005-0000-0000-000059030000}"/>
    <cellStyle name="20% - Accent6 16 2 2 4" xfId="3843" xr:uid="{00000000-0005-0000-0000-00005A030000}"/>
    <cellStyle name="20% - Accent6 16 2 3" xfId="543" xr:uid="{00000000-0005-0000-0000-00005B030000}"/>
    <cellStyle name="20% - Accent6 16 2 3 2" xfId="544" xr:uid="{00000000-0005-0000-0000-00005C030000}"/>
    <cellStyle name="20% - Accent6 16 2 3 2 2" xfId="2654" xr:uid="{00000000-0005-0000-0000-00005D030000}"/>
    <cellStyle name="20% - Accent6 16 2 3 2 2 2" xfId="4532" xr:uid="{00000000-0005-0000-0000-00005E030000}"/>
    <cellStyle name="20% - Accent6 16 2 3 2 3" xfId="3846" xr:uid="{00000000-0005-0000-0000-00005F030000}"/>
    <cellStyle name="20% - Accent6 16 2 3 3" xfId="2653" xr:uid="{00000000-0005-0000-0000-000060030000}"/>
    <cellStyle name="20% - Accent6 16 2 3 3 2" xfId="4531" xr:uid="{00000000-0005-0000-0000-000061030000}"/>
    <cellStyle name="20% - Accent6 16 2 3 4" xfId="3845" xr:uid="{00000000-0005-0000-0000-000062030000}"/>
    <cellStyle name="20% - Accent6 16 2 4" xfId="545" xr:uid="{00000000-0005-0000-0000-000063030000}"/>
    <cellStyle name="20% - Accent6 16 2 4 2" xfId="546" xr:uid="{00000000-0005-0000-0000-000064030000}"/>
    <cellStyle name="20% - Accent6 16 2 4 2 2" xfId="2656" xr:uid="{00000000-0005-0000-0000-000065030000}"/>
    <cellStyle name="20% - Accent6 16 2 4 2 2 2" xfId="4534" xr:uid="{00000000-0005-0000-0000-000066030000}"/>
    <cellStyle name="20% - Accent6 16 2 4 2 3" xfId="3848" xr:uid="{00000000-0005-0000-0000-000067030000}"/>
    <cellStyle name="20% - Accent6 16 2 4 3" xfId="2655" xr:uid="{00000000-0005-0000-0000-000068030000}"/>
    <cellStyle name="20% - Accent6 16 2 4 3 2" xfId="4533" xr:uid="{00000000-0005-0000-0000-000069030000}"/>
    <cellStyle name="20% - Accent6 16 2 4 4" xfId="3847" xr:uid="{00000000-0005-0000-0000-00006A030000}"/>
    <cellStyle name="20% - Accent6 16 2 5" xfId="547" xr:uid="{00000000-0005-0000-0000-00006B030000}"/>
    <cellStyle name="20% - Accent6 16 2 5 2" xfId="2657" xr:uid="{00000000-0005-0000-0000-00006C030000}"/>
    <cellStyle name="20% - Accent6 16 2 5 2 2" xfId="4535" xr:uid="{00000000-0005-0000-0000-00006D030000}"/>
    <cellStyle name="20% - Accent6 16 2 5 3" xfId="3849" xr:uid="{00000000-0005-0000-0000-00006E030000}"/>
    <cellStyle name="20% - Accent6 16 2 6" xfId="2250" xr:uid="{00000000-0005-0000-0000-00006F030000}"/>
    <cellStyle name="20% - Accent6 16 2 6 2" xfId="2964" xr:uid="{00000000-0005-0000-0000-000070030000}"/>
    <cellStyle name="20% - Accent6 16 2 6 2 2" xfId="4839" xr:uid="{00000000-0005-0000-0000-000071030000}"/>
    <cellStyle name="20% - Accent6 16 2 6 3" xfId="4152" xr:uid="{00000000-0005-0000-0000-000072030000}"/>
    <cellStyle name="20% - Accent6 16 2 7" xfId="2650" xr:uid="{00000000-0005-0000-0000-000073030000}"/>
    <cellStyle name="20% - Accent6 16 2 7 2" xfId="4528" xr:uid="{00000000-0005-0000-0000-000074030000}"/>
    <cellStyle name="20% - Accent6 16 2 8" xfId="3842" xr:uid="{00000000-0005-0000-0000-000075030000}"/>
    <cellStyle name="20% - Accent6 16 3" xfId="548" xr:uid="{00000000-0005-0000-0000-000076030000}"/>
    <cellStyle name="20% - Accent6 16 3 2" xfId="549" xr:uid="{00000000-0005-0000-0000-000077030000}"/>
    <cellStyle name="20% - Accent6 16 3 2 2" xfId="2659" xr:uid="{00000000-0005-0000-0000-000078030000}"/>
    <cellStyle name="20% - Accent6 16 3 2 2 2" xfId="4537" xr:uid="{00000000-0005-0000-0000-000079030000}"/>
    <cellStyle name="20% - Accent6 16 3 2 3" xfId="3851" xr:uid="{00000000-0005-0000-0000-00007A030000}"/>
    <cellStyle name="20% - Accent6 16 3 3" xfId="2658" xr:uid="{00000000-0005-0000-0000-00007B030000}"/>
    <cellStyle name="20% - Accent6 16 3 3 2" xfId="4536" xr:uid="{00000000-0005-0000-0000-00007C030000}"/>
    <cellStyle name="20% - Accent6 16 3 4" xfId="3850" xr:uid="{00000000-0005-0000-0000-00007D030000}"/>
    <cellStyle name="20% - Accent6 16 4" xfId="550" xr:uid="{00000000-0005-0000-0000-00007E030000}"/>
    <cellStyle name="20% - Accent6 16 4 2" xfId="551" xr:uid="{00000000-0005-0000-0000-00007F030000}"/>
    <cellStyle name="20% - Accent6 16 4 2 2" xfId="2661" xr:uid="{00000000-0005-0000-0000-000080030000}"/>
    <cellStyle name="20% - Accent6 16 4 2 2 2" xfId="4539" xr:uid="{00000000-0005-0000-0000-000081030000}"/>
    <cellStyle name="20% - Accent6 16 4 2 3" xfId="3853" xr:uid="{00000000-0005-0000-0000-000082030000}"/>
    <cellStyle name="20% - Accent6 16 4 3" xfId="2660" xr:uid="{00000000-0005-0000-0000-000083030000}"/>
    <cellStyle name="20% - Accent6 16 4 3 2" xfId="4538" xr:uid="{00000000-0005-0000-0000-000084030000}"/>
    <cellStyle name="20% - Accent6 16 4 4" xfId="3852" xr:uid="{00000000-0005-0000-0000-000085030000}"/>
    <cellStyle name="20% - Accent6 16 5" xfId="552" xr:uid="{00000000-0005-0000-0000-000086030000}"/>
    <cellStyle name="20% - Accent6 16 5 2" xfId="553" xr:uid="{00000000-0005-0000-0000-000087030000}"/>
    <cellStyle name="20% - Accent6 16 5 2 2" xfId="2663" xr:uid="{00000000-0005-0000-0000-000088030000}"/>
    <cellStyle name="20% - Accent6 16 5 2 2 2" xfId="4541" xr:uid="{00000000-0005-0000-0000-000089030000}"/>
    <cellStyle name="20% - Accent6 16 5 2 3" xfId="3855" xr:uid="{00000000-0005-0000-0000-00008A030000}"/>
    <cellStyle name="20% - Accent6 16 5 3" xfId="2662" xr:uid="{00000000-0005-0000-0000-00008B030000}"/>
    <cellStyle name="20% - Accent6 16 5 3 2" xfId="4540" xr:uid="{00000000-0005-0000-0000-00008C030000}"/>
    <cellStyle name="20% - Accent6 16 5 4" xfId="3854" xr:uid="{00000000-0005-0000-0000-00008D030000}"/>
    <cellStyle name="20% - Accent6 16 6" xfId="554" xr:uid="{00000000-0005-0000-0000-00008E030000}"/>
    <cellStyle name="20% - Accent6 16 6 2" xfId="2664" xr:uid="{00000000-0005-0000-0000-00008F030000}"/>
    <cellStyle name="20% - Accent6 16 6 2 2" xfId="4542" xr:uid="{00000000-0005-0000-0000-000090030000}"/>
    <cellStyle name="20% - Accent6 16 6 3" xfId="3856" xr:uid="{00000000-0005-0000-0000-000091030000}"/>
    <cellStyle name="20% - Accent6 16 7" xfId="2224" xr:uid="{00000000-0005-0000-0000-000092030000}"/>
    <cellStyle name="20% - Accent6 16 7 2" xfId="2938" xr:uid="{00000000-0005-0000-0000-000093030000}"/>
    <cellStyle name="20% - Accent6 16 7 2 2" xfId="4813" xr:uid="{00000000-0005-0000-0000-000094030000}"/>
    <cellStyle name="20% - Accent6 16 7 3" xfId="4126" xr:uid="{00000000-0005-0000-0000-000095030000}"/>
    <cellStyle name="20% - Accent6 16 8" xfId="2649" xr:uid="{00000000-0005-0000-0000-000096030000}"/>
    <cellStyle name="20% - Accent6 16 8 2" xfId="4527" xr:uid="{00000000-0005-0000-0000-000097030000}"/>
    <cellStyle name="20% - Accent6 16 9" xfId="3841" xr:uid="{00000000-0005-0000-0000-000098030000}"/>
    <cellStyle name="20% - Accent6 17" xfId="555" xr:uid="{00000000-0005-0000-0000-000099030000}"/>
    <cellStyle name="20% - Accent6 18" xfId="556" xr:uid="{00000000-0005-0000-0000-00009A030000}"/>
    <cellStyle name="20% - Accent6 19" xfId="557" xr:uid="{00000000-0005-0000-0000-00009B030000}"/>
    <cellStyle name="20% - Accent6 2" xfId="558" xr:uid="{00000000-0005-0000-0000-00009C030000}"/>
    <cellStyle name="20% - Accent6 2 2" xfId="559" xr:uid="{00000000-0005-0000-0000-00009D030000}"/>
    <cellStyle name="20% - Accent6 2 3" xfId="560" xr:uid="{00000000-0005-0000-0000-00009E030000}"/>
    <cellStyle name="20% - Accent6 2 4" xfId="561" xr:uid="{00000000-0005-0000-0000-00009F030000}"/>
    <cellStyle name="20% - Accent6 2 5" xfId="562" xr:uid="{00000000-0005-0000-0000-0000A0030000}"/>
    <cellStyle name="20% - Accent6 20" xfId="563" xr:uid="{00000000-0005-0000-0000-0000A1030000}"/>
    <cellStyle name="20% - Accent6 21" xfId="564" xr:uid="{00000000-0005-0000-0000-0000A2030000}"/>
    <cellStyle name="20% - Accent6 21 2" xfId="565" xr:uid="{00000000-0005-0000-0000-0000A3030000}"/>
    <cellStyle name="20% - Accent6 21 2 2" xfId="566" xr:uid="{00000000-0005-0000-0000-0000A4030000}"/>
    <cellStyle name="20% - Accent6 21 2 2 2" xfId="2667" xr:uid="{00000000-0005-0000-0000-0000A5030000}"/>
    <cellStyle name="20% - Accent6 21 2 2 2 2" xfId="4545" xr:uid="{00000000-0005-0000-0000-0000A6030000}"/>
    <cellStyle name="20% - Accent6 21 2 2 3" xfId="3859" xr:uid="{00000000-0005-0000-0000-0000A7030000}"/>
    <cellStyle name="20% - Accent6 21 2 3" xfId="2666" xr:uid="{00000000-0005-0000-0000-0000A8030000}"/>
    <cellStyle name="20% - Accent6 21 2 3 2" xfId="4544" xr:uid="{00000000-0005-0000-0000-0000A9030000}"/>
    <cellStyle name="20% - Accent6 21 2 4" xfId="3858" xr:uid="{00000000-0005-0000-0000-0000AA030000}"/>
    <cellStyle name="20% - Accent6 21 3" xfId="567" xr:uid="{00000000-0005-0000-0000-0000AB030000}"/>
    <cellStyle name="20% - Accent6 21 3 2" xfId="568" xr:uid="{00000000-0005-0000-0000-0000AC030000}"/>
    <cellStyle name="20% - Accent6 21 3 2 2" xfId="2669" xr:uid="{00000000-0005-0000-0000-0000AD030000}"/>
    <cellStyle name="20% - Accent6 21 3 2 2 2" xfId="4547" xr:uid="{00000000-0005-0000-0000-0000AE030000}"/>
    <cellStyle name="20% - Accent6 21 3 2 3" xfId="3861" xr:uid="{00000000-0005-0000-0000-0000AF030000}"/>
    <cellStyle name="20% - Accent6 21 3 3" xfId="2668" xr:uid="{00000000-0005-0000-0000-0000B0030000}"/>
    <cellStyle name="20% - Accent6 21 3 3 2" xfId="4546" xr:uid="{00000000-0005-0000-0000-0000B1030000}"/>
    <cellStyle name="20% - Accent6 21 3 4" xfId="3860" xr:uid="{00000000-0005-0000-0000-0000B2030000}"/>
    <cellStyle name="20% - Accent6 21 4" xfId="569" xr:uid="{00000000-0005-0000-0000-0000B3030000}"/>
    <cellStyle name="20% - Accent6 21 4 2" xfId="570" xr:uid="{00000000-0005-0000-0000-0000B4030000}"/>
    <cellStyle name="20% - Accent6 21 4 2 2" xfId="2671" xr:uid="{00000000-0005-0000-0000-0000B5030000}"/>
    <cellStyle name="20% - Accent6 21 4 2 2 2" xfId="4549" xr:uid="{00000000-0005-0000-0000-0000B6030000}"/>
    <cellStyle name="20% - Accent6 21 4 2 3" xfId="3863" xr:uid="{00000000-0005-0000-0000-0000B7030000}"/>
    <cellStyle name="20% - Accent6 21 4 3" xfId="2670" xr:uid="{00000000-0005-0000-0000-0000B8030000}"/>
    <cellStyle name="20% - Accent6 21 4 3 2" xfId="4548" xr:uid="{00000000-0005-0000-0000-0000B9030000}"/>
    <cellStyle name="20% - Accent6 21 4 4" xfId="3862" xr:uid="{00000000-0005-0000-0000-0000BA030000}"/>
    <cellStyle name="20% - Accent6 21 5" xfId="571" xr:uid="{00000000-0005-0000-0000-0000BB030000}"/>
    <cellStyle name="20% - Accent6 21 5 2" xfId="2672" xr:uid="{00000000-0005-0000-0000-0000BC030000}"/>
    <cellStyle name="20% - Accent6 21 5 2 2" xfId="4550" xr:uid="{00000000-0005-0000-0000-0000BD030000}"/>
    <cellStyle name="20% - Accent6 21 5 3" xfId="3864" xr:uid="{00000000-0005-0000-0000-0000BE030000}"/>
    <cellStyle name="20% - Accent6 21 6" xfId="2231" xr:uid="{00000000-0005-0000-0000-0000BF030000}"/>
    <cellStyle name="20% - Accent6 21 6 2" xfId="2945" xr:uid="{00000000-0005-0000-0000-0000C0030000}"/>
    <cellStyle name="20% - Accent6 21 6 2 2" xfId="4820" xr:uid="{00000000-0005-0000-0000-0000C1030000}"/>
    <cellStyle name="20% - Accent6 21 6 3" xfId="4133" xr:uid="{00000000-0005-0000-0000-0000C2030000}"/>
    <cellStyle name="20% - Accent6 21 7" xfId="2665" xr:uid="{00000000-0005-0000-0000-0000C3030000}"/>
    <cellStyle name="20% - Accent6 21 7 2" xfId="4543" xr:uid="{00000000-0005-0000-0000-0000C4030000}"/>
    <cellStyle name="20% - Accent6 21 8" xfId="3857" xr:uid="{00000000-0005-0000-0000-0000C5030000}"/>
    <cellStyle name="20% - Accent6 22" xfId="572" xr:uid="{00000000-0005-0000-0000-0000C6030000}"/>
    <cellStyle name="20% - Accent6 22 2" xfId="573" xr:uid="{00000000-0005-0000-0000-0000C7030000}"/>
    <cellStyle name="20% - Accent6 22 2 2" xfId="2674" xr:uid="{00000000-0005-0000-0000-0000C8030000}"/>
    <cellStyle name="20% - Accent6 22 2 2 2" xfId="4552" xr:uid="{00000000-0005-0000-0000-0000C9030000}"/>
    <cellStyle name="20% - Accent6 22 2 3" xfId="3866" xr:uid="{00000000-0005-0000-0000-0000CA030000}"/>
    <cellStyle name="20% - Accent6 22 3" xfId="2673" xr:uid="{00000000-0005-0000-0000-0000CB030000}"/>
    <cellStyle name="20% - Accent6 22 3 2" xfId="4551" xr:uid="{00000000-0005-0000-0000-0000CC030000}"/>
    <cellStyle name="20% - Accent6 22 4" xfId="3865" xr:uid="{00000000-0005-0000-0000-0000CD030000}"/>
    <cellStyle name="20% - Accent6 23" xfId="574" xr:uid="{00000000-0005-0000-0000-0000CE030000}"/>
    <cellStyle name="20% - Accent6 23 2" xfId="575" xr:uid="{00000000-0005-0000-0000-0000CF030000}"/>
    <cellStyle name="20% - Accent6 23 2 2" xfId="2676" xr:uid="{00000000-0005-0000-0000-0000D0030000}"/>
    <cellStyle name="20% - Accent6 23 2 2 2" xfId="4554" xr:uid="{00000000-0005-0000-0000-0000D1030000}"/>
    <cellStyle name="20% - Accent6 23 2 3" xfId="3868" xr:uid="{00000000-0005-0000-0000-0000D2030000}"/>
    <cellStyle name="20% - Accent6 23 3" xfId="2675" xr:uid="{00000000-0005-0000-0000-0000D3030000}"/>
    <cellStyle name="20% - Accent6 23 3 2" xfId="4553" xr:uid="{00000000-0005-0000-0000-0000D4030000}"/>
    <cellStyle name="20% - Accent6 23 4" xfId="3867" xr:uid="{00000000-0005-0000-0000-0000D5030000}"/>
    <cellStyle name="20% - Accent6 24" xfId="576" xr:uid="{00000000-0005-0000-0000-0000D6030000}"/>
    <cellStyle name="20% - Accent6 24 2" xfId="577" xr:uid="{00000000-0005-0000-0000-0000D7030000}"/>
    <cellStyle name="20% - Accent6 24 2 2" xfId="2678" xr:uid="{00000000-0005-0000-0000-0000D8030000}"/>
    <cellStyle name="20% - Accent6 24 2 2 2" xfId="4556" xr:uid="{00000000-0005-0000-0000-0000D9030000}"/>
    <cellStyle name="20% - Accent6 24 2 3" xfId="3870" xr:uid="{00000000-0005-0000-0000-0000DA030000}"/>
    <cellStyle name="20% - Accent6 24 3" xfId="2677" xr:uid="{00000000-0005-0000-0000-0000DB030000}"/>
    <cellStyle name="20% - Accent6 24 3 2" xfId="4555" xr:uid="{00000000-0005-0000-0000-0000DC030000}"/>
    <cellStyle name="20% - Accent6 24 4" xfId="3869" xr:uid="{00000000-0005-0000-0000-0000DD030000}"/>
    <cellStyle name="20% - Accent6 25" xfId="578" xr:uid="{00000000-0005-0000-0000-0000DE030000}"/>
    <cellStyle name="20% - Accent6 25 2" xfId="2679" xr:uid="{00000000-0005-0000-0000-0000DF030000}"/>
    <cellStyle name="20% - Accent6 25 2 2" xfId="4557" xr:uid="{00000000-0005-0000-0000-0000E0030000}"/>
    <cellStyle name="20% - Accent6 25 3" xfId="3871" xr:uid="{00000000-0005-0000-0000-0000E1030000}"/>
    <cellStyle name="20% - Accent6 26" xfId="2205" xr:uid="{00000000-0005-0000-0000-0000E2030000}"/>
    <cellStyle name="20% - Accent6 26 2" xfId="2919" xr:uid="{00000000-0005-0000-0000-0000E3030000}"/>
    <cellStyle name="20% - Accent6 26 2 2" xfId="4794" xr:uid="{00000000-0005-0000-0000-0000E4030000}"/>
    <cellStyle name="20% - Accent6 26 3" xfId="4107" xr:uid="{00000000-0005-0000-0000-0000E5030000}"/>
    <cellStyle name="20% - Accent6 27" xfId="2491" xr:uid="{00000000-0005-0000-0000-0000E6030000}"/>
    <cellStyle name="20% - Accent6 27 2" xfId="4370" xr:uid="{00000000-0005-0000-0000-0000E7030000}"/>
    <cellStyle name="20% - Accent6 28" xfId="3682" xr:uid="{00000000-0005-0000-0000-0000E8030000}"/>
    <cellStyle name="20% - Accent6 3" xfId="579" xr:uid="{00000000-0005-0000-0000-0000E9030000}"/>
    <cellStyle name="20% - Accent6 4" xfId="580" xr:uid="{00000000-0005-0000-0000-0000EA030000}"/>
    <cellStyle name="20% - Accent6 5" xfId="581" xr:uid="{00000000-0005-0000-0000-0000EB030000}"/>
    <cellStyle name="20% - Accent6 6" xfId="582" xr:uid="{00000000-0005-0000-0000-0000EC030000}"/>
    <cellStyle name="20% - Accent6 7" xfId="583" xr:uid="{00000000-0005-0000-0000-0000ED030000}"/>
    <cellStyle name="20% - Accent6 8" xfId="584" xr:uid="{00000000-0005-0000-0000-0000EE030000}"/>
    <cellStyle name="20% - Accent6 9" xfId="585" xr:uid="{00000000-0005-0000-0000-0000EF030000}"/>
    <cellStyle name="40% - Accent1" xfId="231" builtinId="31" customBuiltin="1"/>
    <cellStyle name="40% - Accent1 10" xfId="586" xr:uid="{00000000-0005-0000-0000-0000F1030000}"/>
    <cellStyle name="40% - Accent1 11" xfId="587" xr:uid="{00000000-0005-0000-0000-0000F2030000}"/>
    <cellStyle name="40% - Accent1 12" xfId="588" xr:uid="{00000000-0005-0000-0000-0000F3030000}"/>
    <cellStyle name="40% - Accent1 13" xfId="589" xr:uid="{00000000-0005-0000-0000-0000F4030000}"/>
    <cellStyle name="40% - Accent1 14" xfId="590" xr:uid="{00000000-0005-0000-0000-0000F5030000}"/>
    <cellStyle name="40% - Accent1 15" xfId="591" xr:uid="{00000000-0005-0000-0000-0000F6030000}"/>
    <cellStyle name="40% - Accent1 16" xfId="592" xr:uid="{00000000-0005-0000-0000-0000F7030000}"/>
    <cellStyle name="40% - Accent1 16 2" xfId="593" xr:uid="{00000000-0005-0000-0000-0000F8030000}"/>
    <cellStyle name="40% - Accent1 16 2 2" xfId="594" xr:uid="{00000000-0005-0000-0000-0000F9030000}"/>
    <cellStyle name="40% - Accent1 16 2 2 2" xfId="595" xr:uid="{00000000-0005-0000-0000-0000FA030000}"/>
    <cellStyle name="40% - Accent1 16 2 2 2 2" xfId="2683" xr:uid="{00000000-0005-0000-0000-0000FB030000}"/>
    <cellStyle name="40% - Accent1 16 2 2 2 2 2" xfId="4561" xr:uid="{00000000-0005-0000-0000-0000FC030000}"/>
    <cellStyle name="40% - Accent1 16 2 2 2 3" xfId="3875" xr:uid="{00000000-0005-0000-0000-0000FD030000}"/>
    <cellStyle name="40% - Accent1 16 2 2 3" xfId="2682" xr:uid="{00000000-0005-0000-0000-0000FE030000}"/>
    <cellStyle name="40% - Accent1 16 2 2 3 2" xfId="4560" xr:uid="{00000000-0005-0000-0000-0000FF030000}"/>
    <cellStyle name="40% - Accent1 16 2 2 4" xfId="3874" xr:uid="{00000000-0005-0000-0000-000000040000}"/>
    <cellStyle name="40% - Accent1 16 2 3" xfId="596" xr:uid="{00000000-0005-0000-0000-000001040000}"/>
    <cellStyle name="40% - Accent1 16 2 3 2" xfId="597" xr:uid="{00000000-0005-0000-0000-000002040000}"/>
    <cellStyle name="40% - Accent1 16 2 3 2 2" xfId="2685" xr:uid="{00000000-0005-0000-0000-000003040000}"/>
    <cellStyle name="40% - Accent1 16 2 3 2 2 2" xfId="4563" xr:uid="{00000000-0005-0000-0000-000004040000}"/>
    <cellStyle name="40% - Accent1 16 2 3 2 3" xfId="3877" xr:uid="{00000000-0005-0000-0000-000005040000}"/>
    <cellStyle name="40% - Accent1 16 2 3 3" xfId="2684" xr:uid="{00000000-0005-0000-0000-000006040000}"/>
    <cellStyle name="40% - Accent1 16 2 3 3 2" xfId="4562" xr:uid="{00000000-0005-0000-0000-000007040000}"/>
    <cellStyle name="40% - Accent1 16 2 3 4" xfId="3876" xr:uid="{00000000-0005-0000-0000-000008040000}"/>
    <cellStyle name="40% - Accent1 16 2 4" xfId="598" xr:uid="{00000000-0005-0000-0000-000009040000}"/>
    <cellStyle name="40% - Accent1 16 2 4 2" xfId="599" xr:uid="{00000000-0005-0000-0000-00000A040000}"/>
    <cellStyle name="40% - Accent1 16 2 4 2 2" xfId="2687" xr:uid="{00000000-0005-0000-0000-00000B040000}"/>
    <cellStyle name="40% - Accent1 16 2 4 2 2 2" xfId="4565" xr:uid="{00000000-0005-0000-0000-00000C040000}"/>
    <cellStyle name="40% - Accent1 16 2 4 2 3" xfId="3879" xr:uid="{00000000-0005-0000-0000-00000D040000}"/>
    <cellStyle name="40% - Accent1 16 2 4 3" xfId="2686" xr:uid="{00000000-0005-0000-0000-00000E040000}"/>
    <cellStyle name="40% - Accent1 16 2 4 3 2" xfId="4564" xr:uid="{00000000-0005-0000-0000-00000F040000}"/>
    <cellStyle name="40% - Accent1 16 2 4 4" xfId="3878" xr:uid="{00000000-0005-0000-0000-000010040000}"/>
    <cellStyle name="40% - Accent1 16 2 5" xfId="600" xr:uid="{00000000-0005-0000-0000-000011040000}"/>
    <cellStyle name="40% - Accent1 16 2 5 2" xfId="2688" xr:uid="{00000000-0005-0000-0000-000012040000}"/>
    <cellStyle name="40% - Accent1 16 2 5 2 2" xfId="4566" xr:uid="{00000000-0005-0000-0000-000013040000}"/>
    <cellStyle name="40% - Accent1 16 2 5 3" xfId="3880" xr:uid="{00000000-0005-0000-0000-000014040000}"/>
    <cellStyle name="40% - Accent1 16 2 6" xfId="2241" xr:uid="{00000000-0005-0000-0000-000015040000}"/>
    <cellStyle name="40% - Accent1 16 2 6 2" xfId="2955" xr:uid="{00000000-0005-0000-0000-000016040000}"/>
    <cellStyle name="40% - Accent1 16 2 6 2 2" xfId="4830" xr:uid="{00000000-0005-0000-0000-000017040000}"/>
    <cellStyle name="40% - Accent1 16 2 6 3" xfId="4143" xr:uid="{00000000-0005-0000-0000-000018040000}"/>
    <cellStyle name="40% - Accent1 16 2 7" xfId="2681" xr:uid="{00000000-0005-0000-0000-000019040000}"/>
    <cellStyle name="40% - Accent1 16 2 7 2" xfId="4559" xr:uid="{00000000-0005-0000-0000-00001A040000}"/>
    <cellStyle name="40% - Accent1 16 2 8" xfId="3873" xr:uid="{00000000-0005-0000-0000-00001B040000}"/>
    <cellStyle name="40% - Accent1 16 3" xfId="601" xr:uid="{00000000-0005-0000-0000-00001C040000}"/>
    <cellStyle name="40% - Accent1 16 3 2" xfId="602" xr:uid="{00000000-0005-0000-0000-00001D040000}"/>
    <cellStyle name="40% - Accent1 16 3 2 2" xfId="2690" xr:uid="{00000000-0005-0000-0000-00001E040000}"/>
    <cellStyle name="40% - Accent1 16 3 2 2 2" xfId="4568" xr:uid="{00000000-0005-0000-0000-00001F040000}"/>
    <cellStyle name="40% - Accent1 16 3 2 3" xfId="3882" xr:uid="{00000000-0005-0000-0000-000020040000}"/>
    <cellStyle name="40% - Accent1 16 3 3" xfId="2689" xr:uid="{00000000-0005-0000-0000-000021040000}"/>
    <cellStyle name="40% - Accent1 16 3 3 2" xfId="4567" xr:uid="{00000000-0005-0000-0000-000022040000}"/>
    <cellStyle name="40% - Accent1 16 3 4" xfId="3881" xr:uid="{00000000-0005-0000-0000-000023040000}"/>
    <cellStyle name="40% - Accent1 16 4" xfId="603" xr:uid="{00000000-0005-0000-0000-000024040000}"/>
    <cellStyle name="40% - Accent1 16 4 2" xfId="604" xr:uid="{00000000-0005-0000-0000-000025040000}"/>
    <cellStyle name="40% - Accent1 16 4 2 2" xfId="2692" xr:uid="{00000000-0005-0000-0000-000026040000}"/>
    <cellStyle name="40% - Accent1 16 4 2 2 2" xfId="4570" xr:uid="{00000000-0005-0000-0000-000027040000}"/>
    <cellStyle name="40% - Accent1 16 4 2 3" xfId="3884" xr:uid="{00000000-0005-0000-0000-000028040000}"/>
    <cellStyle name="40% - Accent1 16 4 3" xfId="2691" xr:uid="{00000000-0005-0000-0000-000029040000}"/>
    <cellStyle name="40% - Accent1 16 4 3 2" xfId="4569" xr:uid="{00000000-0005-0000-0000-00002A040000}"/>
    <cellStyle name="40% - Accent1 16 4 4" xfId="3883" xr:uid="{00000000-0005-0000-0000-00002B040000}"/>
    <cellStyle name="40% - Accent1 16 5" xfId="605" xr:uid="{00000000-0005-0000-0000-00002C040000}"/>
    <cellStyle name="40% - Accent1 16 5 2" xfId="606" xr:uid="{00000000-0005-0000-0000-00002D040000}"/>
    <cellStyle name="40% - Accent1 16 5 2 2" xfId="2694" xr:uid="{00000000-0005-0000-0000-00002E040000}"/>
    <cellStyle name="40% - Accent1 16 5 2 2 2" xfId="4572" xr:uid="{00000000-0005-0000-0000-00002F040000}"/>
    <cellStyle name="40% - Accent1 16 5 2 3" xfId="3886" xr:uid="{00000000-0005-0000-0000-000030040000}"/>
    <cellStyle name="40% - Accent1 16 5 3" xfId="2693" xr:uid="{00000000-0005-0000-0000-000031040000}"/>
    <cellStyle name="40% - Accent1 16 5 3 2" xfId="4571" xr:uid="{00000000-0005-0000-0000-000032040000}"/>
    <cellStyle name="40% - Accent1 16 5 4" xfId="3885" xr:uid="{00000000-0005-0000-0000-000033040000}"/>
    <cellStyle name="40% - Accent1 16 6" xfId="607" xr:uid="{00000000-0005-0000-0000-000034040000}"/>
    <cellStyle name="40% - Accent1 16 6 2" xfId="2695" xr:uid="{00000000-0005-0000-0000-000035040000}"/>
    <cellStyle name="40% - Accent1 16 6 2 2" xfId="4573" xr:uid="{00000000-0005-0000-0000-000036040000}"/>
    <cellStyle name="40% - Accent1 16 6 3" xfId="3887" xr:uid="{00000000-0005-0000-0000-000037040000}"/>
    <cellStyle name="40% - Accent1 16 7" xfId="2215" xr:uid="{00000000-0005-0000-0000-000038040000}"/>
    <cellStyle name="40% - Accent1 16 7 2" xfId="2929" xr:uid="{00000000-0005-0000-0000-000039040000}"/>
    <cellStyle name="40% - Accent1 16 7 2 2" xfId="4804" xr:uid="{00000000-0005-0000-0000-00003A040000}"/>
    <cellStyle name="40% - Accent1 16 7 3" xfId="4117" xr:uid="{00000000-0005-0000-0000-00003B040000}"/>
    <cellStyle name="40% - Accent1 16 8" xfId="2680" xr:uid="{00000000-0005-0000-0000-00003C040000}"/>
    <cellStyle name="40% - Accent1 16 8 2" xfId="4558" xr:uid="{00000000-0005-0000-0000-00003D040000}"/>
    <cellStyle name="40% - Accent1 16 9" xfId="3872" xr:uid="{00000000-0005-0000-0000-00003E040000}"/>
    <cellStyle name="40% - Accent1 17" xfId="608" xr:uid="{00000000-0005-0000-0000-00003F040000}"/>
    <cellStyle name="40% - Accent1 18" xfId="609" xr:uid="{00000000-0005-0000-0000-000040040000}"/>
    <cellStyle name="40% - Accent1 19" xfId="610" xr:uid="{00000000-0005-0000-0000-000041040000}"/>
    <cellStyle name="40% - Accent1 2" xfId="611" xr:uid="{00000000-0005-0000-0000-000042040000}"/>
    <cellStyle name="40% - Accent1 2 2" xfId="612" xr:uid="{00000000-0005-0000-0000-000043040000}"/>
    <cellStyle name="40% - Accent1 2 3" xfId="613" xr:uid="{00000000-0005-0000-0000-000044040000}"/>
    <cellStyle name="40% - Accent1 2 4" xfId="614" xr:uid="{00000000-0005-0000-0000-000045040000}"/>
    <cellStyle name="40% - Accent1 2 5" xfId="615" xr:uid="{00000000-0005-0000-0000-000046040000}"/>
    <cellStyle name="40% - Accent1 20" xfId="616" xr:uid="{00000000-0005-0000-0000-000047040000}"/>
    <cellStyle name="40% - Accent1 21" xfId="617" xr:uid="{00000000-0005-0000-0000-000048040000}"/>
    <cellStyle name="40% - Accent1 21 2" xfId="618" xr:uid="{00000000-0005-0000-0000-000049040000}"/>
    <cellStyle name="40% - Accent1 21 2 2" xfId="619" xr:uid="{00000000-0005-0000-0000-00004A040000}"/>
    <cellStyle name="40% - Accent1 21 2 2 2" xfId="2698" xr:uid="{00000000-0005-0000-0000-00004B040000}"/>
    <cellStyle name="40% - Accent1 21 2 2 2 2" xfId="4576" xr:uid="{00000000-0005-0000-0000-00004C040000}"/>
    <cellStyle name="40% - Accent1 21 2 2 3" xfId="3890" xr:uid="{00000000-0005-0000-0000-00004D040000}"/>
    <cellStyle name="40% - Accent1 21 2 3" xfId="2697" xr:uid="{00000000-0005-0000-0000-00004E040000}"/>
    <cellStyle name="40% - Accent1 21 2 3 2" xfId="4575" xr:uid="{00000000-0005-0000-0000-00004F040000}"/>
    <cellStyle name="40% - Accent1 21 2 4" xfId="3889" xr:uid="{00000000-0005-0000-0000-000050040000}"/>
    <cellStyle name="40% - Accent1 21 3" xfId="620" xr:uid="{00000000-0005-0000-0000-000051040000}"/>
    <cellStyle name="40% - Accent1 21 3 2" xfId="621" xr:uid="{00000000-0005-0000-0000-000052040000}"/>
    <cellStyle name="40% - Accent1 21 3 2 2" xfId="2700" xr:uid="{00000000-0005-0000-0000-000053040000}"/>
    <cellStyle name="40% - Accent1 21 3 2 2 2" xfId="4578" xr:uid="{00000000-0005-0000-0000-000054040000}"/>
    <cellStyle name="40% - Accent1 21 3 2 3" xfId="3892" xr:uid="{00000000-0005-0000-0000-000055040000}"/>
    <cellStyle name="40% - Accent1 21 3 3" xfId="2699" xr:uid="{00000000-0005-0000-0000-000056040000}"/>
    <cellStyle name="40% - Accent1 21 3 3 2" xfId="4577" xr:uid="{00000000-0005-0000-0000-000057040000}"/>
    <cellStyle name="40% - Accent1 21 3 4" xfId="3891" xr:uid="{00000000-0005-0000-0000-000058040000}"/>
    <cellStyle name="40% - Accent1 21 4" xfId="622" xr:uid="{00000000-0005-0000-0000-000059040000}"/>
    <cellStyle name="40% - Accent1 21 4 2" xfId="623" xr:uid="{00000000-0005-0000-0000-00005A040000}"/>
    <cellStyle name="40% - Accent1 21 4 2 2" xfId="2702" xr:uid="{00000000-0005-0000-0000-00005B040000}"/>
    <cellStyle name="40% - Accent1 21 4 2 2 2" xfId="4580" xr:uid="{00000000-0005-0000-0000-00005C040000}"/>
    <cellStyle name="40% - Accent1 21 4 2 3" xfId="3894" xr:uid="{00000000-0005-0000-0000-00005D040000}"/>
    <cellStyle name="40% - Accent1 21 4 3" xfId="2701" xr:uid="{00000000-0005-0000-0000-00005E040000}"/>
    <cellStyle name="40% - Accent1 21 4 3 2" xfId="4579" xr:uid="{00000000-0005-0000-0000-00005F040000}"/>
    <cellStyle name="40% - Accent1 21 4 4" xfId="3893" xr:uid="{00000000-0005-0000-0000-000060040000}"/>
    <cellStyle name="40% - Accent1 21 5" xfId="624" xr:uid="{00000000-0005-0000-0000-000061040000}"/>
    <cellStyle name="40% - Accent1 21 5 2" xfId="2703" xr:uid="{00000000-0005-0000-0000-000062040000}"/>
    <cellStyle name="40% - Accent1 21 5 2 2" xfId="4581" xr:uid="{00000000-0005-0000-0000-000063040000}"/>
    <cellStyle name="40% - Accent1 21 5 3" xfId="3895" xr:uid="{00000000-0005-0000-0000-000064040000}"/>
    <cellStyle name="40% - Accent1 21 6" xfId="2232" xr:uid="{00000000-0005-0000-0000-000065040000}"/>
    <cellStyle name="40% - Accent1 21 6 2" xfId="2946" xr:uid="{00000000-0005-0000-0000-000066040000}"/>
    <cellStyle name="40% - Accent1 21 6 2 2" xfId="4821" xr:uid="{00000000-0005-0000-0000-000067040000}"/>
    <cellStyle name="40% - Accent1 21 6 3" xfId="4134" xr:uid="{00000000-0005-0000-0000-000068040000}"/>
    <cellStyle name="40% - Accent1 21 7" xfId="2696" xr:uid="{00000000-0005-0000-0000-000069040000}"/>
    <cellStyle name="40% - Accent1 21 7 2" xfId="4574" xr:uid="{00000000-0005-0000-0000-00006A040000}"/>
    <cellStyle name="40% - Accent1 21 8" xfId="3888" xr:uid="{00000000-0005-0000-0000-00006B040000}"/>
    <cellStyle name="40% - Accent1 22" xfId="625" xr:uid="{00000000-0005-0000-0000-00006C040000}"/>
    <cellStyle name="40% - Accent1 22 2" xfId="626" xr:uid="{00000000-0005-0000-0000-00006D040000}"/>
    <cellStyle name="40% - Accent1 22 2 2" xfId="2705" xr:uid="{00000000-0005-0000-0000-00006E040000}"/>
    <cellStyle name="40% - Accent1 22 2 2 2" xfId="4583" xr:uid="{00000000-0005-0000-0000-00006F040000}"/>
    <cellStyle name="40% - Accent1 22 2 3" xfId="3897" xr:uid="{00000000-0005-0000-0000-000070040000}"/>
    <cellStyle name="40% - Accent1 22 3" xfId="2704" xr:uid="{00000000-0005-0000-0000-000071040000}"/>
    <cellStyle name="40% - Accent1 22 3 2" xfId="4582" xr:uid="{00000000-0005-0000-0000-000072040000}"/>
    <cellStyle name="40% - Accent1 22 4" xfId="3896" xr:uid="{00000000-0005-0000-0000-000073040000}"/>
    <cellStyle name="40% - Accent1 23" xfId="627" xr:uid="{00000000-0005-0000-0000-000074040000}"/>
    <cellStyle name="40% - Accent1 23 2" xfId="628" xr:uid="{00000000-0005-0000-0000-000075040000}"/>
    <cellStyle name="40% - Accent1 23 2 2" xfId="2707" xr:uid="{00000000-0005-0000-0000-000076040000}"/>
    <cellStyle name="40% - Accent1 23 2 2 2" xfId="4585" xr:uid="{00000000-0005-0000-0000-000077040000}"/>
    <cellStyle name="40% - Accent1 23 2 3" xfId="3899" xr:uid="{00000000-0005-0000-0000-000078040000}"/>
    <cellStyle name="40% - Accent1 23 3" xfId="2706" xr:uid="{00000000-0005-0000-0000-000079040000}"/>
    <cellStyle name="40% - Accent1 23 3 2" xfId="4584" xr:uid="{00000000-0005-0000-0000-00007A040000}"/>
    <cellStyle name="40% - Accent1 23 4" xfId="3898" xr:uid="{00000000-0005-0000-0000-00007B040000}"/>
    <cellStyle name="40% - Accent1 24" xfId="629" xr:uid="{00000000-0005-0000-0000-00007C040000}"/>
    <cellStyle name="40% - Accent1 24 2" xfId="630" xr:uid="{00000000-0005-0000-0000-00007D040000}"/>
    <cellStyle name="40% - Accent1 24 2 2" xfId="2709" xr:uid="{00000000-0005-0000-0000-00007E040000}"/>
    <cellStyle name="40% - Accent1 24 2 2 2" xfId="4587" xr:uid="{00000000-0005-0000-0000-00007F040000}"/>
    <cellStyle name="40% - Accent1 24 2 3" xfId="3901" xr:uid="{00000000-0005-0000-0000-000080040000}"/>
    <cellStyle name="40% - Accent1 24 3" xfId="2708" xr:uid="{00000000-0005-0000-0000-000081040000}"/>
    <cellStyle name="40% - Accent1 24 3 2" xfId="4586" xr:uid="{00000000-0005-0000-0000-000082040000}"/>
    <cellStyle name="40% - Accent1 24 4" xfId="3900" xr:uid="{00000000-0005-0000-0000-000083040000}"/>
    <cellStyle name="40% - Accent1 25" xfId="631" xr:uid="{00000000-0005-0000-0000-000084040000}"/>
    <cellStyle name="40% - Accent1 25 2" xfId="2710" xr:uid="{00000000-0005-0000-0000-000085040000}"/>
    <cellStyle name="40% - Accent1 25 2 2" xfId="4588" xr:uid="{00000000-0005-0000-0000-000086040000}"/>
    <cellStyle name="40% - Accent1 25 3" xfId="3902" xr:uid="{00000000-0005-0000-0000-000087040000}"/>
    <cellStyle name="40% - Accent1 26" xfId="2206" xr:uid="{00000000-0005-0000-0000-000088040000}"/>
    <cellStyle name="40% - Accent1 26 2" xfId="2920" xr:uid="{00000000-0005-0000-0000-000089040000}"/>
    <cellStyle name="40% - Accent1 26 2 2" xfId="4795" xr:uid="{00000000-0005-0000-0000-00008A040000}"/>
    <cellStyle name="40% - Accent1 26 3" xfId="4108" xr:uid="{00000000-0005-0000-0000-00008B040000}"/>
    <cellStyle name="40% - Accent1 27" xfId="2482" xr:uid="{00000000-0005-0000-0000-00008C040000}"/>
    <cellStyle name="40% - Accent1 27 2" xfId="4361" xr:uid="{00000000-0005-0000-0000-00008D040000}"/>
    <cellStyle name="40% - Accent1 28" xfId="3673" xr:uid="{00000000-0005-0000-0000-00008E040000}"/>
    <cellStyle name="40% - Accent1 3" xfId="632" xr:uid="{00000000-0005-0000-0000-00008F040000}"/>
    <cellStyle name="40% - Accent1 4" xfId="633" xr:uid="{00000000-0005-0000-0000-000090040000}"/>
    <cellStyle name="40% - Accent1 5" xfId="634" xr:uid="{00000000-0005-0000-0000-000091040000}"/>
    <cellStyle name="40% - Accent1 6" xfId="635" xr:uid="{00000000-0005-0000-0000-000092040000}"/>
    <cellStyle name="40% - Accent1 7" xfId="636" xr:uid="{00000000-0005-0000-0000-000093040000}"/>
    <cellStyle name="40% - Accent1 8" xfId="637" xr:uid="{00000000-0005-0000-0000-000094040000}"/>
    <cellStyle name="40% - Accent1 9" xfId="638" xr:uid="{00000000-0005-0000-0000-000095040000}"/>
    <cellStyle name="40% - Accent2" xfId="235" builtinId="35" customBuiltin="1"/>
    <cellStyle name="40% - Accent2 10" xfId="639" xr:uid="{00000000-0005-0000-0000-000097040000}"/>
    <cellStyle name="40% - Accent2 11" xfId="640" xr:uid="{00000000-0005-0000-0000-000098040000}"/>
    <cellStyle name="40% - Accent2 12" xfId="641" xr:uid="{00000000-0005-0000-0000-000099040000}"/>
    <cellStyle name="40% - Accent2 13" xfId="642" xr:uid="{00000000-0005-0000-0000-00009A040000}"/>
    <cellStyle name="40% - Accent2 14" xfId="643" xr:uid="{00000000-0005-0000-0000-00009B040000}"/>
    <cellStyle name="40% - Accent2 15" xfId="644" xr:uid="{00000000-0005-0000-0000-00009C040000}"/>
    <cellStyle name="40% - Accent2 16" xfId="645" xr:uid="{00000000-0005-0000-0000-00009D040000}"/>
    <cellStyle name="40% - Accent2 16 2" xfId="646" xr:uid="{00000000-0005-0000-0000-00009E040000}"/>
    <cellStyle name="40% - Accent2 16 2 2" xfId="647" xr:uid="{00000000-0005-0000-0000-00009F040000}"/>
    <cellStyle name="40% - Accent2 16 2 2 2" xfId="648" xr:uid="{00000000-0005-0000-0000-0000A0040000}"/>
    <cellStyle name="40% - Accent2 16 2 2 2 2" xfId="2714" xr:uid="{00000000-0005-0000-0000-0000A1040000}"/>
    <cellStyle name="40% - Accent2 16 2 2 2 2 2" xfId="4592" xr:uid="{00000000-0005-0000-0000-0000A2040000}"/>
    <cellStyle name="40% - Accent2 16 2 2 2 3" xfId="3906" xr:uid="{00000000-0005-0000-0000-0000A3040000}"/>
    <cellStyle name="40% - Accent2 16 2 2 3" xfId="2713" xr:uid="{00000000-0005-0000-0000-0000A4040000}"/>
    <cellStyle name="40% - Accent2 16 2 2 3 2" xfId="4591" xr:uid="{00000000-0005-0000-0000-0000A5040000}"/>
    <cellStyle name="40% - Accent2 16 2 2 4" xfId="3905" xr:uid="{00000000-0005-0000-0000-0000A6040000}"/>
    <cellStyle name="40% - Accent2 16 2 3" xfId="649" xr:uid="{00000000-0005-0000-0000-0000A7040000}"/>
    <cellStyle name="40% - Accent2 16 2 3 2" xfId="650" xr:uid="{00000000-0005-0000-0000-0000A8040000}"/>
    <cellStyle name="40% - Accent2 16 2 3 2 2" xfId="2716" xr:uid="{00000000-0005-0000-0000-0000A9040000}"/>
    <cellStyle name="40% - Accent2 16 2 3 2 2 2" xfId="4594" xr:uid="{00000000-0005-0000-0000-0000AA040000}"/>
    <cellStyle name="40% - Accent2 16 2 3 2 3" xfId="3908" xr:uid="{00000000-0005-0000-0000-0000AB040000}"/>
    <cellStyle name="40% - Accent2 16 2 3 3" xfId="2715" xr:uid="{00000000-0005-0000-0000-0000AC040000}"/>
    <cellStyle name="40% - Accent2 16 2 3 3 2" xfId="4593" xr:uid="{00000000-0005-0000-0000-0000AD040000}"/>
    <cellStyle name="40% - Accent2 16 2 3 4" xfId="3907" xr:uid="{00000000-0005-0000-0000-0000AE040000}"/>
    <cellStyle name="40% - Accent2 16 2 4" xfId="651" xr:uid="{00000000-0005-0000-0000-0000AF040000}"/>
    <cellStyle name="40% - Accent2 16 2 4 2" xfId="652" xr:uid="{00000000-0005-0000-0000-0000B0040000}"/>
    <cellStyle name="40% - Accent2 16 2 4 2 2" xfId="2718" xr:uid="{00000000-0005-0000-0000-0000B1040000}"/>
    <cellStyle name="40% - Accent2 16 2 4 2 2 2" xfId="4596" xr:uid="{00000000-0005-0000-0000-0000B2040000}"/>
    <cellStyle name="40% - Accent2 16 2 4 2 3" xfId="3910" xr:uid="{00000000-0005-0000-0000-0000B3040000}"/>
    <cellStyle name="40% - Accent2 16 2 4 3" xfId="2717" xr:uid="{00000000-0005-0000-0000-0000B4040000}"/>
    <cellStyle name="40% - Accent2 16 2 4 3 2" xfId="4595" xr:uid="{00000000-0005-0000-0000-0000B5040000}"/>
    <cellStyle name="40% - Accent2 16 2 4 4" xfId="3909" xr:uid="{00000000-0005-0000-0000-0000B6040000}"/>
    <cellStyle name="40% - Accent2 16 2 5" xfId="653" xr:uid="{00000000-0005-0000-0000-0000B7040000}"/>
    <cellStyle name="40% - Accent2 16 2 5 2" xfId="2719" xr:uid="{00000000-0005-0000-0000-0000B8040000}"/>
    <cellStyle name="40% - Accent2 16 2 5 2 2" xfId="4597" xr:uid="{00000000-0005-0000-0000-0000B9040000}"/>
    <cellStyle name="40% - Accent2 16 2 5 3" xfId="3911" xr:uid="{00000000-0005-0000-0000-0000BA040000}"/>
    <cellStyle name="40% - Accent2 16 2 6" xfId="2243" xr:uid="{00000000-0005-0000-0000-0000BB040000}"/>
    <cellStyle name="40% - Accent2 16 2 6 2" xfId="2957" xr:uid="{00000000-0005-0000-0000-0000BC040000}"/>
    <cellStyle name="40% - Accent2 16 2 6 2 2" xfId="4832" xr:uid="{00000000-0005-0000-0000-0000BD040000}"/>
    <cellStyle name="40% - Accent2 16 2 6 3" xfId="4145" xr:uid="{00000000-0005-0000-0000-0000BE040000}"/>
    <cellStyle name="40% - Accent2 16 2 7" xfId="2712" xr:uid="{00000000-0005-0000-0000-0000BF040000}"/>
    <cellStyle name="40% - Accent2 16 2 7 2" xfId="4590" xr:uid="{00000000-0005-0000-0000-0000C0040000}"/>
    <cellStyle name="40% - Accent2 16 2 8" xfId="3904" xr:uid="{00000000-0005-0000-0000-0000C1040000}"/>
    <cellStyle name="40% - Accent2 16 3" xfId="654" xr:uid="{00000000-0005-0000-0000-0000C2040000}"/>
    <cellStyle name="40% - Accent2 16 3 2" xfId="655" xr:uid="{00000000-0005-0000-0000-0000C3040000}"/>
    <cellStyle name="40% - Accent2 16 3 2 2" xfId="2721" xr:uid="{00000000-0005-0000-0000-0000C4040000}"/>
    <cellStyle name="40% - Accent2 16 3 2 2 2" xfId="4599" xr:uid="{00000000-0005-0000-0000-0000C5040000}"/>
    <cellStyle name="40% - Accent2 16 3 2 3" xfId="3913" xr:uid="{00000000-0005-0000-0000-0000C6040000}"/>
    <cellStyle name="40% - Accent2 16 3 3" xfId="2720" xr:uid="{00000000-0005-0000-0000-0000C7040000}"/>
    <cellStyle name="40% - Accent2 16 3 3 2" xfId="4598" xr:uid="{00000000-0005-0000-0000-0000C8040000}"/>
    <cellStyle name="40% - Accent2 16 3 4" xfId="3912" xr:uid="{00000000-0005-0000-0000-0000C9040000}"/>
    <cellStyle name="40% - Accent2 16 4" xfId="656" xr:uid="{00000000-0005-0000-0000-0000CA040000}"/>
    <cellStyle name="40% - Accent2 16 4 2" xfId="657" xr:uid="{00000000-0005-0000-0000-0000CB040000}"/>
    <cellStyle name="40% - Accent2 16 4 2 2" xfId="2723" xr:uid="{00000000-0005-0000-0000-0000CC040000}"/>
    <cellStyle name="40% - Accent2 16 4 2 2 2" xfId="4601" xr:uid="{00000000-0005-0000-0000-0000CD040000}"/>
    <cellStyle name="40% - Accent2 16 4 2 3" xfId="3915" xr:uid="{00000000-0005-0000-0000-0000CE040000}"/>
    <cellStyle name="40% - Accent2 16 4 3" xfId="2722" xr:uid="{00000000-0005-0000-0000-0000CF040000}"/>
    <cellStyle name="40% - Accent2 16 4 3 2" xfId="4600" xr:uid="{00000000-0005-0000-0000-0000D0040000}"/>
    <cellStyle name="40% - Accent2 16 4 4" xfId="3914" xr:uid="{00000000-0005-0000-0000-0000D1040000}"/>
    <cellStyle name="40% - Accent2 16 5" xfId="658" xr:uid="{00000000-0005-0000-0000-0000D2040000}"/>
    <cellStyle name="40% - Accent2 16 5 2" xfId="659" xr:uid="{00000000-0005-0000-0000-0000D3040000}"/>
    <cellStyle name="40% - Accent2 16 5 2 2" xfId="2725" xr:uid="{00000000-0005-0000-0000-0000D4040000}"/>
    <cellStyle name="40% - Accent2 16 5 2 2 2" xfId="4603" xr:uid="{00000000-0005-0000-0000-0000D5040000}"/>
    <cellStyle name="40% - Accent2 16 5 2 3" xfId="3917" xr:uid="{00000000-0005-0000-0000-0000D6040000}"/>
    <cellStyle name="40% - Accent2 16 5 3" xfId="2724" xr:uid="{00000000-0005-0000-0000-0000D7040000}"/>
    <cellStyle name="40% - Accent2 16 5 3 2" xfId="4602" xr:uid="{00000000-0005-0000-0000-0000D8040000}"/>
    <cellStyle name="40% - Accent2 16 5 4" xfId="3916" xr:uid="{00000000-0005-0000-0000-0000D9040000}"/>
    <cellStyle name="40% - Accent2 16 6" xfId="660" xr:uid="{00000000-0005-0000-0000-0000DA040000}"/>
    <cellStyle name="40% - Accent2 16 6 2" xfId="2726" xr:uid="{00000000-0005-0000-0000-0000DB040000}"/>
    <cellStyle name="40% - Accent2 16 6 2 2" xfId="4604" xr:uid="{00000000-0005-0000-0000-0000DC040000}"/>
    <cellStyle name="40% - Accent2 16 6 3" xfId="3918" xr:uid="{00000000-0005-0000-0000-0000DD040000}"/>
    <cellStyle name="40% - Accent2 16 7" xfId="2217" xr:uid="{00000000-0005-0000-0000-0000DE040000}"/>
    <cellStyle name="40% - Accent2 16 7 2" xfId="2931" xr:uid="{00000000-0005-0000-0000-0000DF040000}"/>
    <cellStyle name="40% - Accent2 16 7 2 2" xfId="4806" xr:uid="{00000000-0005-0000-0000-0000E0040000}"/>
    <cellStyle name="40% - Accent2 16 7 3" xfId="4119" xr:uid="{00000000-0005-0000-0000-0000E1040000}"/>
    <cellStyle name="40% - Accent2 16 8" xfId="2711" xr:uid="{00000000-0005-0000-0000-0000E2040000}"/>
    <cellStyle name="40% - Accent2 16 8 2" xfId="4589" xr:uid="{00000000-0005-0000-0000-0000E3040000}"/>
    <cellStyle name="40% - Accent2 16 9" xfId="3903" xr:uid="{00000000-0005-0000-0000-0000E4040000}"/>
    <cellStyle name="40% - Accent2 17" xfId="661" xr:uid="{00000000-0005-0000-0000-0000E5040000}"/>
    <cellStyle name="40% - Accent2 18" xfId="662" xr:uid="{00000000-0005-0000-0000-0000E6040000}"/>
    <cellStyle name="40% - Accent2 19" xfId="663" xr:uid="{00000000-0005-0000-0000-0000E7040000}"/>
    <cellStyle name="40% - Accent2 2" xfId="664" xr:uid="{00000000-0005-0000-0000-0000E8040000}"/>
    <cellStyle name="40% - Accent2 2 2" xfId="665" xr:uid="{00000000-0005-0000-0000-0000E9040000}"/>
    <cellStyle name="40% - Accent2 2 3" xfId="666" xr:uid="{00000000-0005-0000-0000-0000EA040000}"/>
    <cellStyle name="40% - Accent2 2 4" xfId="667" xr:uid="{00000000-0005-0000-0000-0000EB040000}"/>
    <cellStyle name="40% - Accent2 2 5" xfId="668" xr:uid="{00000000-0005-0000-0000-0000EC040000}"/>
    <cellStyle name="40% - Accent2 20" xfId="669" xr:uid="{00000000-0005-0000-0000-0000ED040000}"/>
    <cellStyle name="40% - Accent2 21" xfId="670" xr:uid="{00000000-0005-0000-0000-0000EE040000}"/>
    <cellStyle name="40% - Accent2 21 2" xfId="671" xr:uid="{00000000-0005-0000-0000-0000EF040000}"/>
    <cellStyle name="40% - Accent2 21 2 2" xfId="672" xr:uid="{00000000-0005-0000-0000-0000F0040000}"/>
    <cellStyle name="40% - Accent2 21 2 2 2" xfId="2729" xr:uid="{00000000-0005-0000-0000-0000F1040000}"/>
    <cellStyle name="40% - Accent2 21 2 2 2 2" xfId="4607" xr:uid="{00000000-0005-0000-0000-0000F2040000}"/>
    <cellStyle name="40% - Accent2 21 2 2 3" xfId="3921" xr:uid="{00000000-0005-0000-0000-0000F3040000}"/>
    <cellStyle name="40% - Accent2 21 2 3" xfId="2728" xr:uid="{00000000-0005-0000-0000-0000F4040000}"/>
    <cellStyle name="40% - Accent2 21 2 3 2" xfId="4606" xr:uid="{00000000-0005-0000-0000-0000F5040000}"/>
    <cellStyle name="40% - Accent2 21 2 4" xfId="3920" xr:uid="{00000000-0005-0000-0000-0000F6040000}"/>
    <cellStyle name="40% - Accent2 21 3" xfId="673" xr:uid="{00000000-0005-0000-0000-0000F7040000}"/>
    <cellStyle name="40% - Accent2 21 3 2" xfId="674" xr:uid="{00000000-0005-0000-0000-0000F8040000}"/>
    <cellStyle name="40% - Accent2 21 3 2 2" xfId="2731" xr:uid="{00000000-0005-0000-0000-0000F9040000}"/>
    <cellStyle name="40% - Accent2 21 3 2 2 2" xfId="4609" xr:uid="{00000000-0005-0000-0000-0000FA040000}"/>
    <cellStyle name="40% - Accent2 21 3 2 3" xfId="3923" xr:uid="{00000000-0005-0000-0000-0000FB040000}"/>
    <cellStyle name="40% - Accent2 21 3 3" xfId="2730" xr:uid="{00000000-0005-0000-0000-0000FC040000}"/>
    <cellStyle name="40% - Accent2 21 3 3 2" xfId="4608" xr:uid="{00000000-0005-0000-0000-0000FD040000}"/>
    <cellStyle name="40% - Accent2 21 3 4" xfId="3922" xr:uid="{00000000-0005-0000-0000-0000FE040000}"/>
    <cellStyle name="40% - Accent2 21 4" xfId="675" xr:uid="{00000000-0005-0000-0000-0000FF040000}"/>
    <cellStyle name="40% - Accent2 21 4 2" xfId="676" xr:uid="{00000000-0005-0000-0000-000000050000}"/>
    <cellStyle name="40% - Accent2 21 4 2 2" xfId="2733" xr:uid="{00000000-0005-0000-0000-000001050000}"/>
    <cellStyle name="40% - Accent2 21 4 2 2 2" xfId="4611" xr:uid="{00000000-0005-0000-0000-000002050000}"/>
    <cellStyle name="40% - Accent2 21 4 2 3" xfId="3925" xr:uid="{00000000-0005-0000-0000-000003050000}"/>
    <cellStyle name="40% - Accent2 21 4 3" xfId="2732" xr:uid="{00000000-0005-0000-0000-000004050000}"/>
    <cellStyle name="40% - Accent2 21 4 3 2" xfId="4610" xr:uid="{00000000-0005-0000-0000-000005050000}"/>
    <cellStyle name="40% - Accent2 21 4 4" xfId="3924" xr:uid="{00000000-0005-0000-0000-000006050000}"/>
    <cellStyle name="40% - Accent2 21 5" xfId="677" xr:uid="{00000000-0005-0000-0000-000007050000}"/>
    <cellStyle name="40% - Accent2 21 5 2" xfId="2734" xr:uid="{00000000-0005-0000-0000-000008050000}"/>
    <cellStyle name="40% - Accent2 21 5 2 2" xfId="4612" xr:uid="{00000000-0005-0000-0000-000009050000}"/>
    <cellStyle name="40% - Accent2 21 5 3" xfId="3926" xr:uid="{00000000-0005-0000-0000-00000A050000}"/>
    <cellStyle name="40% - Accent2 21 6" xfId="2233" xr:uid="{00000000-0005-0000-0000-00000B050000}"/>
    <cellStyle name="40% - Accent2 21 6 2" xfId="2947" xr:uid="{00000000-0005-0000-0000-00000C050000}"/>
    <cellStyle name="40% - Accent2 21 6 2 2" xfId="4822" xr:uid="{00000000-0005-0000-0000-00000D050000}"/>
    <cellStyle name="40% - Accent2 21 6 3" xfId="4135" xr:uid="{00000000-0005-0000-0000-00000E050000}"/>
    <cellStyle name="40% - Accent2 21 7" xfId="2727" xr:uid="{00000000-0005-0000-0000-00000F050000}"/>
    <cellStyle name="40% - Accent2 21 7 2" xfId="4605" xr:uid="{00000000-0005-0000-0000-000010050000}"/>
    <cellStyle name="40% - Accent2 21 8" xfId="3919" xr:uid="{00000000-0005-0000-0000-000011050000}"/>
    <cellStyle name="40% - Accent2 22" xfId="678" xr:uid="{00000000-0005-0000-0000-000012050000}"/>
    <cellStyle name="40% - Accent2 22 2" xfId="679" xr:uid="{00000000-0005-0000-0000-000013050000}"/>
    <cellStyle name="40% - Accent2 22 2 2" xfId="2736" xr:uid="{00000000-0005-0000-0000-000014050000}"/>
    <cellStyle name="40% - Accent2 22 2 2 2" xfId="4614" xr:uid="{00000000-0005-0000-0000-000015050000}"/>
    <cellStyle name="40% - Accent2 22 2 3" xfId="3928" xr:uid="{00000000-0005-0000-0000-000016050000}"/>
    <cellStyle name="40% - Accent2 22 3" xfId="2735" xr:uid="{00000000-0005-0000-0000-000017050000}"/>
    <cellStyle name="40% - Accent2 22 3 2" xfId="4613" xr:uid="{00000000-0005-0000-0000-000018050000}"/>
    <cellStyle name="40% - Accent2 22 4" xfId="3927" xr:uid="{00000000-0005-0000-0000-000019050000}"/>
    <cellStyle name="40% - Accent2 23" xfId="680" xr:uid="{00000000-0005-0000-0000-00001A050000}"/>
    <cellStyle name="40% - Accent2 23 2" xfId="681" xr:uid="{00000000-0005-0000-0000-00001B050000}"/>
    <cellStyle name="40% - Accent2 23 2 2" xfId="2738" xr:uid="{00000000-0005-0000-0000-00001C050000}"/>
    <cellStyle name="40% - Accent2 23 2 2 2" xfId="4616" xr:uid="{00000000-0005-0000-0000-00001D050000}"/>
    <cellStyle name="40% - Accent2 23 2 3" xfId="3930" xr:uid="{00000000-0005-0000-0000-00001E050000}"/>
    <cellStyle name="40% - Accent2 23 3" xfId="2737" xr:uid="{00000000-0005-0000-0000-00001F050000}"/>
    <cellStyle name="40% - Accent2 23 3 2" xfId="4615" xr:uid="{00000000-0005-0000-0000-000020050000}"/>
    <cellStyle name="40% - Accent2 23 4" xfId="3929" xr:uid="{00000000-0005-0000-0000-000021050000}"/>
    <cellStyle name="40% - Accent2 24" xfId="682" xr:uid="{00000000-0005-0000-0000-000022050000}"/>
    <cellStyle name="40% - Accent2 24 2" xfId="683" xr:uid="{00000000-0005-0000-0000-000023050000}"/>
    <cellStyle name="40% - Accent2 24 2 2" xfId="2740" xr:uid="{00000000-0005-0000-0000-000024050000}"/>
    <cellStyle name="40% - Accent2 24 2 2 2" xfId="4618" xr:uid="{00000000-0005-0000-0000-000025050000}"/>
    <cellStyle name="40% - Accent2 24 2 3" xfId="3932" xr:uid="{00000000-0005-0000-0000-000026050000}"/>
    <cellStyle name="40% - Accent2 24 3" xfId="2739" xr:uid="{00000000-0005-0000-0000-000027050000}"/>
    <cellStyle name="40% - Accent2 24 3 2" xfId="4617" xr:uid="{00000000-0005-0000-0000-000028050000}"/>
    <cellStyle name="40% - Accent2 24 4" xfId="3931" xr:uid="{00000000-0005-0000-0000-000029050000}"/>
    <cellStyle name="40% - Accent2 25" xfId="684" xr:uid="{00000000-0005-0000-0000-00002A050000}"/>
    <cellStyle name="40% - Accent2 25 2" xfId="2741" xr:uid="{00000000-0005-0000-0000-00002B050000}"/>
    <cellStyle name="40% - Accent2 25 2 2" xfId="4619" xr:uid="{00000000-0005-0000-0000-00002C050000}"/>
    <cellStyle name="40% - Accent2 25 3" xfId="3933" xr:uid="{00000000-0005-0000-0000-00002D050000}"/>
    <cellStyle name="40% - Accent2 26" xfId="2207" xr:uid="{00000000-0005-0000-0000-00002E050000}"/>
    <cellStyle name="40% - Accent2 26 2" xfId="2921" xr:uid="{00000000-0005-0000-0000-00002F050000}"/>
    <cellStyle name="40% - Accent2 26 2 2" xfId="4796" xr:uid="{00000000-0005-0000-0000-000030050000}"/>
    <cellStyle name="40% - Accent2 26 3" xfId="4109" xr:uid="{00000000-0005-0000-0000-000031050000}"/>
    <cellStyle name="40% - Accent2 27" xfId="2484" xr:uid="{00000000-0005-0000-0000-000032050000}"/>
    <cellStyle name="40% - Accent2 27 2" xfId="4363" xr:uid="{00000000-0005-0000-0000-000033050000}"/>
    <cellStyle name="40% - Accent2 28" xfId="3675" xr:uid="{00000000-0005-0000-0000-000034050000}"/>
    <cellStyle name="40% - Accent2 3" xfId="685" xr:uid="{00000000-0005-0000-0000-000035050000}"/>
    <cellStyle name="40% - Accent2 4" xfId="686" xr:uid="{00000000-0005-0000-0000-000036050000}"/>
    <cellStyle name="40% - Accent2 5" xfId="687" xr:uid="{00000000-0005-0000-0000-000037050000}"/>
    <cellStyle name="40% - Accent2 6" xfId="688" xr:uid="{00000000-0005-0000-0000-000038050000}"/>
    <cellStyle name="40% - Accent2 7" xfId="689" xr:uid="{00000000-0005-0000-0000-000039050000}"/>
    <cellStyle name="40% - Accent2 8" xfId="690" xr:uid="{00000000-0005-0000-0000-00003A050000}"/>
    <cellStyle name="40% - Accent2 9" xfId="691" xr:uid="{00000000-0005-0000-0000-00003B050000}"/>
    <cellStyle name="40% - Accent3" xfId="239" builtinId="39" customBuiltin="1"/>
    <cellStyle name="40% - Accent3 10" xfId="692" xr:uid="{00000000-0005-0000-0000-00003D050000}"/>
    <cellStyle name="40% - Accent3 11" xfId="693" xr:uid="{00000000-0005-0000-0000-00003E050000}"/>
    <cellStyle name="40% - Accent3 12" xfId="694" xr:uid="{00000000-0005-0000-0000-00003F050000}"/>
    <cellStyle name="40% - Accent3 13" xfId="695" xr:uid="{00000000-0005-0000-0000-000040050000}"/>
    <cellStyle name="40% - Accent3 14" xfId="696" xr:uid="{00000000-0005-0000-0000-000041050000}"/>
    <cellStyle name="40% - Accent3 15" xfId="697" xr:uid="{00000000-0005-0000-0000-000042050000}"/>
    <cellStyle name="40% - Accent3 16" xfId="698" xr:uid="{00000000-0005-0000-0000-000043050000}"/>
    <cellStyle name="40% - Accent3 16 2" xfId="699" xr:uid="{00000000-0005-0000-0000-000044050000}"/>
    <cellStyle name="40% - Accent3 16 2 2" xfId="700" xr:uid="{00000000-0005-0000-0000-000045050000}"/>
    <cellStyle name="40% - Accent3 16 2 2 2" xfId="701" xr:uid="{00000000-0005-0000-0000-000046050000}"/>
    <cellStyle name="40% - Accent3 16 2 2 2 2" xfId="2745" xr:uid="{00000000-0005-0000-0000-000047050000}"/>
    <cellStyle name="40% - Accent3 16 2 2 2 2 2" xfId="4623" xr:uid="{00000000-0005-0000-0000-000048050000}"/>
    <cellStyle name="40% - Accent3 16 2 2 2 3" xfId="3937" xr:uid="{00000000-0005-0000-0000-000049050000}"/>
    <cellStyle name="40% - Accent3 16 2 2 3" xfId="2744" xr:uid="{00000000-0005-0000-0000-00004A050000}"/>
    <cellStyle name="40% - Accent3 16 2 2 3 2" xfId="4622" xr:uid="{00000000-0005-0000-0000-00004B050000}"/>
    <cellStyle name="40% - Accent3 16 2 2 4" xfId="3936" xr:uid="{00000000-0005-0000-0000-00004C050000}"/>
    <cellStyle name="40% - Accent3 16 2 3" xfId="702" xr:uid="{00000000-0005-0000-0000-00004D050000}"/>
    <cellStyle name="40% - Accent3 16 2 3 2" xfId="703" xr:uid="{00000000-0005-0000-0000-00004E050000}"/>
    <cellStyle name="40% - Accent3 16 2 3 2 2" xfId="2747" xr:uid="{00000000-0005-0000-0000-00004F050000}"/>
    <cellStyle name="40% - Accent3 16 2 3 2 2 2" xfId="4625" xr:uid="{00000000-0005-0000-0000-000050050000}"/>
    <cellStyle name="40% - Accent3 16 2 3 2 3" xfId="3939" xr:uid="{00000000-0005-0000-0000-000051050000}"/>
    <cellStyle name="40% - Accent3 16 2 3 3" xfId="2746" xr:uid="{00000000-0005-0000-0000-000052050000}"/>
    <cellStyle name="40% - Accent3 16 2 3 3 2" xfId="4624" xr:uid="{00000000-0005-0000-0000-000053050000}"/>
    <cellStyle name="40% - Accent3 16 2 3 4" xfId="3938" xr:uid="{00000000-0005-0000-0000-000054050000}"/>
    <cellStyle name="40% - Accent3 16 2 4" xfId="704" xr:uid="{00000000-0005-0000-0000-000055050000}"/>
    <cellStyle name="40% - Accent3 16 2 4 2" xfId="705" xr:uid="{00000000-0005-0000-0000-000056050000}"/>
    <cellStyle name="40% - Accent3 16 2 4 2 2" xfId="2749" xr:uid="{00000000-0005-0000-0000-000057050000}"/>
    <cellStyle name="40% - Accent3 16 2 4 2 2 2" xfId="4627" xr:uid="{00000000-0005-0000-0000-000058050000}"/>
    <cellStyle name="40% - Accent3 16 2 4 2 3" xfId="3941" xr:uid="{00000000-0005-0000-0000-000059050000}"/>
    <cellStyle name="40% - Accent3 16 2 4 3" xfId="2748" xr:uid="{00000000-0005-0000-0000-00005A050000}"/>
    <cellStyle name="40% - Accent3 16 2 4 3 2" xfId="4626" xr:uid="{00000000-0005-0000-0000-00005B050000}"/>
    <cellStyle name="40% - Accent3 16 2 4 4" xfId="3940" xr:uid="{00000000-0005-0000-0000-00005C050000}"/>
    <cellStyle name="40% - Accent3 16 2 5" xfId="706" xr:uid="{00000000-0005-0000-0000-00005D050000}"/>
    <cellStyle name="40% - Accent3 16 2 5 2" xfId="2750" xr:uid="{00000000-0005-0000-0000-00005E050000}"/>
    <cellStyle name="40% - Accent3 16 2 5 2 2" xfId="4628" xr:uid="{00000000-0005-0000-0000-00005F050000}"/>
    <cellStyle name="40% - Accent3 16 2 5 3" xfId="3942" xr:uid="{00000000-0005-0000-0000-000060050000}"/>
    <cellStyle name="40% - Accent3 16 2 6" xfId="2245" xr:uid="{00000000-0005-0000-0000-000061050000}"/>
    <cellStyle name="40% - Accent3 16 2 6 2" xfId="2959" xr:uid="{00000000-0005-0000-0000-000062050000}"/>
    <cellStyle name="40% - Accent3 16 2 6 2 2" xfId="4834" xr:uid="{00000000-0005-0000-0000-000063050000}"/>
    <cellStyle name="40% - Accent3 16 2 6 3" xfId="4147" xr:uid="{00000000-0005-0000-0000-000064050000}"/>
    <cellStyle name="40% - Accent3 16 2 7" xfId="2743" xr:uid="{00000000-0005-0000-0000-000065050000}"/>
    <cellStyle name="40% - Accent3 16 2 7 2" xfId="4621" xr:uid="{00000000-0005-0000-0000-000066050000}"/>
    <cellStyle name="40% - Accent3 16 2 8" xfId="3935" xr:uid="{00000000-0005-0000-0000-000067050000}"/>
    <cellStyle name="40% - Accent3 16 3" xfId="707" xr:uid="{00000000-0005-0000-0000-000068050000}"/>
    <cellStyle name="40% - Accent3 16 3 2" xfId="708" xr:uid="{00000000-0005-0000-0000-000069050000}"/>
    <cellStyle name="40% - Accent3 16 3 2 2" xfId="2752" xr:uid="{00000000-0005-0000-0000-00006A050000}"/>
    <cellStyle name="40% - Accent3 16 3 2 2 2" xfId="4630" xr:uid="{00000000-0005-0000-0000-00006B050000}"/>
    <cellStyle name="40% - Accent3 16 3 2 3" xfId="3944" xr:uid="{00000000-0005-0000-0000-00006C050000}"/>
    <cellStyle name="40% - Accent3 16 3 3" xfId="2751" xr:uid="{00000000-0005-0000-0000-00006D050000}"/>
    <cellStyle name="40% - Accent3 16 3 3 2" xfId="4629" xr:uid="{00000000-0005-0000-0000-00006E050000}"/>
    <cellStyle name="40% - Accent3 16 3 4" xfId="3943" xr:uid="{00000000-0005-0000-0000-00006F050000}"/>
    <cellStyle name="40% - Accent3 16 4" xfId="709" xr:uid="{00000000-0005-0000-0000-000070050000}"/>
    <cellStyle name="40% - Accent3 16 4 2" xfId="710" xr:uid="{00000000-0005-0000-0000-000071050000}"/>
    <cellStyle name="40% - Accent3 16 4 2 2" xfId="2754" xr:uid="{00000000-0005-0000-0000-000072050000}"/>
    <cellStyle name="40% - Accent3 16 4 2 2 2" xfId="4632" xr:uid="{00000000-0005-0000-0000-000073050000}"/>
    <cellStyle name="40% - Accent3 16 4 2 3" xfId="3946" xr:uid="{00000000-0005-0000-0000-000074050000}"/>
    <cellStyle name="40% - Accent3 16 4 3" xfId="2753" xr:uid="{00000000-0005-0000-0000-000075050000}"/>
    <cellStyle name="40% - Accent3 16 4 3 2" xfId="4631" xr:uid="{00000000-0005-0000-0000-000076050000}"/>
    <cellStyle name="40% - Accent3 16 4 4" xfId="3945" xr:uid="{00000000-0005-0000-0000-000077050000}"/>
    <cellStyle name="40% - Accent3 16 5" xfId="711" xr:uid="{00000000-0005-0000-0000-000078050000}"/>
    <cellStyle name="40% - Accent3 16 5 2" xfId="712" xr:uid="{00000000-0005-0000-0000-000079050000}"/>
    <cellStyle name="40% - Accent3 16 5 2 2" xfId="2756" xr:uid="{00000000-0005-0000-0000-00007A050000}"/>
    <cellStyle name="40% - Accent3 16 5 2 2 2" xfId="4634" xr:uid="{00000000-0005-0000-0000-00007B050000}"/>
    <cellStyle name="40% - Accent3 16 5 2 3" xfId="3948" xr:uid="{00000000-0005-0000-0000-00007C050000}"/>
    <cellStyle name="40% - Accent3 16 5 3" xfId="2755" xr:uid="{00000000-0005-0000-0000-00007D050000}"/>
    <cellStyle name="40% - Accent3 16 5 3 2" xfId="4633" xr:uid="{00000000-0005-0000-0000-00007E050000}"/>
    <cellStyle name="40% - Accent3 16 5 4" xfId="3947" xr:uid="{00000000-0005-0000-0000-00007F050000}"/>
    <cellStyle name="40% - Accent3 16 6" xfId="713" xr:uid="{00000000-0005-0000-0000-000080050000}"/>
    <cellStyle name="40% - Accent3 16 6 2" xfId="2757" xr:uid="{00000000-0005-0000-0000-000081050000}"/>
    <cellStyle name="40% - Accent3 16 6 2 2" xfId="4635" xr:uid="{00000000-0005-0000-0000-000082050000}"/>
    <cellStyle name="40% - Accent3 16 6 3" xfId="3949" xr:uid="{00000000-0005-0000-0000-000083050000}"/>
    <cellStyle name="40% - Accent3 16 7" xfId="2219" xr:uid="{00000000-0005-0000-0000-000084050000}"/>
    <cellStyle name="40% - Accent3 16 7 2" xfId="2933" xr:uid="{00000000-0005-0000-0000-000085050000}"/>
    <cellStyle name="40% - Accent3 16 7 2 2" xfId="4808" xr:uid="{00000000-0005-0000-0000-000086050000}"/>
    <cellStyle name="40% - Accent3 16 7 3" xfId="4121" xr:uid="{00000000-0005-0000-0000-000087050000}"/>
    <cellStyle name="40% - Accent3 16 8" xfId="2742" xr:uid="{00000000-0005-0000-0000-000088050000}"/>
    <cellStyle name="40% - Accent3 16 8 2" xfId="4620" xr:uid="{00000000-0005-0000-0000-000089050000}"/>
    <cellStyle name="40% - Accent3 16 9" xfId="3934" xr:uid="{00000000-0005-0000-0000-00008A050000}"/>
    <cellStyle name="40% - Accent3 17" xfId="714" xr:uid="{00000000-0005-0000-0000-00008B050000}"/>
    <cellStyle name="40% - Accent3 18" xfId="715" xr:uid="{00000000-0005-0000-0000-00008C050000}"/>
    <cellStyle name="40% - Accent3 19" xfId="716" xr:uid="{00000000-0005-0000-0000-00008D050000}"/>
    <cellStyle name="40% - Accent3 2" xfId="717" xr:uid="{00000000-0005-0000-0000-00008E050000}"/>
    <cellStyle name="40% - Accent3 2 2" xfId="718" xr:uid="{00000000-0005-0000-0000-00008F050000}"/>
    <cellStyle name="40% - Accent3 2 3" xfId="719" xr:uid="{00000000-0005-0000-0000-000090050000}"/>
    <cellStyle name="40% - Accent3 2 4" xfId="720" xr:uid="{00000000-0005-0000-0000-000091050000}"/>
    <cellStyle name="40% - Accent3 2 5" xfId="721" xr:uid="{00000000-0005-0000-0000-000092050000}"/>
    <cellStyle name="40% - Accent3 20" xfId="722" xr:uid="{00000000-0005-0000-0000-000093050000}"/>
    <cellStyle name="40% - Accent3 21" xfId="723" xr:uid="{00000000-0005-0000-0000-000094050000}"/>
    <cellStyle name="40% - Accent3 21 2" xfId="724" xr:uid="{00000000-0005-0000-0000-000095050000}"/>
    <cellStyle name="40% - Accent3 21 2 2" xfId="725" xr:uid="{00000000-0005-0000-0000-000096050000}"/>
    <cellStyle name="40% - Accent3 21 2 2 2" xfId="2760" xr:uid="{00000000-0005-0000-0000-000097050000}"/>
    <cellStyle name="40% - Accent3 21 2 2 2 2" xfId="4638" xr:uid="{00000000-0005-0000-0000-000098050000}"/>
    <cellStyle name="40% - Accent3 21 2 2 3" xfId="3952" xr:uid="{00000000-0005-0000-0000-000099050000}"/>
    <cellStyle name="40% - Accent3 21 2 3" xfId="2759" xr:uid="{00000000-0005-0000-0000-00009A050000}"/>
    <cellStyle name="40% - Accent3 21 2 3 2" xfId="4637" xr:uid="{00000000-0005-0000-0000-00009B050000}"/>
    <cellStyle name="40% - Accent3 21 2 4" xfId="3951" xr:uid="{00000000-0005-0000-0000-00009C050000}"/>
    <cellStyle name="40% - Accent3 21 3" xfId="726" xr:uid="{00000000-0005-0000-0000-00009D050000}"/>
    <cellStyle name="40% - Accent3 21 3 2" xfId="727" xr:uid="{00000000-0005-0000-0000-00009E050000}"/>
    <cellStyle name="40% - Accent3 21 3 2 2" xfId="2762" xr:uid="{00000000-0005-0000-0000-00009F050000}"/>
    <cellStyle name="40% - Accent3 21 3 2 2 2" xfId="4640" xr:uid="{00000000-0005-0000-0000-0000A0050000}"/>
    <cellStyle name="40% - Accent3 21 3 2 3" xfId="3954" xr:uid="{00000000-0005-0000-0000-0000A1050000}"/>
    <cellStyle name="40% - Accent3 21 3 3" xfId="2761" xr:uid="{00000000-0005-0000-0000-0000A2050000}"/>
    <cellStyle name="40% - Accent3 21 3 3 2" xfId="4639" xr:uid="{00000000-0005-0000-0000-0000A3050000}"/>
    <cellStyle name="40% - Accent3 21 3 4" xfId="3953" xr:uid="{00000000-0005-0000-0000-0000A4050000}"/>
    <cellStyle name="40% - Accent3 21 4" xfId="728" xr:uid="{00000000-0005-0000-0000-0000A5050000}"/>
    <cellStyle name="40% - Accent3 21 4 2" xfId="729" xr:uid="{00000000-0005-0000-0000-0000A6050000}"/>
    <cellStyle name="40% - Accent3 21 4 2 2" xfId="2764" xr:uid="{00000000-0005-0000-0000-0000A7050000}"/>
    <cellStyle name="40% - Accent3 21 4 2 2 2" xfId="4642" xr:uid="{00000000-0005-0000-0000-0000A8050000}"/>
    <cellStyle name="40% - Accent3 21 4 2 3" xfId="3956" xr:uid="{00000000-0005-0000-0000-0000A9050000}"/>
    <cellStyle name="40% - Accent3 21 4 3" xfId="2763" xr:uid="{00000000-0005-0000-0000-0000AA050000}"/>
    <cellStyle name="40% - Accent3 21 4 3 2" xfId="4641" xr:uid="{00000000-0005-0000-0000-0000AB050000}"/>
    <cellStyle name="40% - Accent3 21 4 4" xfId="3955" xr:uid="{00000000-0005-0000-0000-0000AC050000}"/>
    <cellStyle name="40% - Accent3 21 5" xfId="730" xr:uid="{00000000-0005-0000-0000-0000AD050000}"/>
    <cellStyle name="40% - Accent3 21 5 2" xfId="2765" xr:uid="{00000000-0005-0000-0000-0000AE050000}"/>
    <cellStyle name="40% - Accent3 21 5 2 2" xfId="4643" xr:uid="{00000000-0005-0000-0000-0000AF050000}"/>
    <cellStyle name="40% - Accent3 21 5 3" xfId="3957" xr:uid="{00000000-0005-0000-0000-0000B0050000}"/>
    <cellStyle name="40% - Accent3 21 6" xfId="2234" xr:uid="{00000000-0005-0000-0000-0000B1050000}"/>
    <cellStyle name="40% - Accent3 21 6 2" xfId="2948" xr:uid="{00000000-0005-0000-0000-0000B2050000}"/>
    <cellStyle name="40% - Accent3 21 6 2 2" xfId="4823" xr:uid="{00000000-0005-0000-0000-0000B3050000}"/>
    <cellStyle name="40% - Accent3 21 6 3" xfId="4136" xr:uid="{00000000-0005-0000-0000-0000B4050000}"/>
    <cellStyle name="40% - Accent3 21 7" xfId="2758" xr:uid="{00000000-0005-0000-0000-0000B5050000}"/>
    <cellStyle name="40% - Accent3 21 7 2" xfId="4636" xr:uid="{00000000-0005-0000-0000-0000B6050000}"/>
    <cellStyle name="40% - Accent3 21 8" xfId="3950" xr:uid="{00000000-0005-0000-0000-0000B7050000}"/>
    <cellStyle name="40% - Accent3 22" xfId="731" xr:uid="{00000000-0005-0000-0000-0000B8050000}"/>
    <cellStyle name="40% - Accent3 22 2" xfId="732" xr:uid="{00000000-0005-0000-0000-0000B9050000}"/>
    <cellStyle name="40% - Accent3 22 2 2" xfId="2767" xr:uid="{00000000-0005-0000-0000-0000BA050000}"/>
    <cellStyle name="40% - Accent3 22 2 2 2" xfId="4645" xr:uid="{00000000-0005-0000-0000-0000BB050000}"/>
    <cellStyle name="40% - Accent3 22 2 3" xfId="3959" xr:uid="{00000000-0005-0000-0000-0000BC050000}"/>
    <cellStyle name="40% - Accent3 22 3" xfId="2766" xr:uid="{00000000-0005-0000-0000-0000BD050000}"/>
    <cellStyle name="40% - Accent3 22 3 2" xfId="4644" xr:uid="{00000000-0005-0000-0000-0000BE050000}"/>
    <cellStyle name="40% - Accent3 22 4" xfId="3958" xr:uid="{00000000-0005-0000-0000-0000BF050000}"/>
    <cellStyle name="40% - Accent3 23" xfId="733" xr:uid="{00000000-0005-0000-0000-0000C0050000}"/>
    <cellStyle name="40% - Accent3 23 2" xfId="734" xr:uid="{00000000-0005-0000-0000-0000C1050000}"/>
    <cellStyle name="40% - Accent3 23 2 2" xfId="2769" xr:uid="{00000000-0005-0000-0000-0000C2050000}"/>
    <cellStyle name="40% - Accent3 23 2 2 2" xfId="4647" xr:uid="{00000000-0005-0000-0000-0000C3050000}"/>
    <cellStyle name="40% - Accent3 23 2 3" xfId="3961" xr:uid="{00000000-0005-0000-0000-0000C4050000}"/>
    <cellStyle name="40% - Accent3 23 3" xfId="2768" xr:uid="{00000000-0005-0000-0000-0000C5050000}"/>
    <cellStyle name="40% - Accent3 23 3 2" xfId="4646" xr:uid="{00000000-0005-0000-0000-0000C6050000}"/>
    <cellStyle name="40% - Accent3 23 4" xfId="3960" xr:uid="{00000000-0005-0000-0000-0000C7050000}"/>
    <cellStyle name="40% - Accent3 24" xfId="735" xr:uid="{00000000-0005-0000-0000-0000C8050000}"/>
    <cellStyle name="40% - Accent3 24 2" xfId="736" xr:uid="{00000000-0005-0000-0000-0000C9050000}"/>
    <cellStyle name="40% - Accent3 24 2 2" xfId="2771" xr:uid="{00000000-0005-0000-0000-0000CA050000}"/>
    <cellStyle name="40% - Accent3 24 2 2 2" xfId="4649" xr:uid="{00000000-0005-0000-0000-0000CB050000}"/>
    <cellStyle name="40% - Accent3 24 2 3" xfId="3963" xr:uid="{00000000-0005-0000-0000-0000CC050000}"/>
    <cellStyle name="40% - Accent3 24 3" xfId="2770" xr:uid="{00000000-0005-0000-0000-0000CD050000}"/>
    <cellStyle name="40% - Accent3 24 3 2" xfId="4648" xr:uid="{00000000-0005-0000-0000-0000CE050000}"/>
    <cellStyle name="40% - Accent3 24 4" xfId="3962" xr:uid="{00000000-0005-0000-0000-0000CF050000}"/>
    <cellStyle name="40% - Accent3 25" xfId="737" xr:uid="{00000000-0005-0000-0000-0000D0050000}"/>
    <cellStyle name="40% - Accent3 25 2" xfId="2772" xr:uid="{00000000-0005-0000-0000-0000D1050000}"/>
    <cellStyle name="40% - Accent3 25 2 2" xfId="4650" xr:uid="{00000000-0005-0000-0000-0000D2050000}"/>
    <cellStyle name="40% - Accent3 25 3" xfId="3964" xr:uid="{00000000-0005-0000-0000-0000D3050000}"/>
    <cellStyle name="40% - Accent3 26" xfId="2208" xr:uid="{00000000-0005-0000-0000-0000D4050000}"/>
    <cellStyle name="40% - Accent3 26 2" xfId="2922" xr:uid="{00000000-0005-0000-0000-0000D5050000}"/>
    <cellStyle name="40% - Accent3 26 2 2" xfId="4797" xr:uid="{00000000-0005-0000-0000-0000D6050000}"/>
    <cellStyle name="40% - Accent3 26 3" xfId="4110" xr:uid="{00000000-0005-0000-0000-0000D7050000}"/>
    <cellStyle name="40% - Accent3 27" xfId="2486" xr:uid="{00000000-0005-0000-0000-0000D8050000}"/>
    <cellStyle name="40% - Accent3 27 2" xfId="4365" xr:uid="{00000000-0005-0000-0000-0000D9050000}"/>
    <cellStyle name="40% - Accent3 28" xfId="3677" xr:uid="{00000000-0005-0000-0000-0000DA050000}"/>
    <cellStyle name="40% - Accent3 3" xfId="738" xr:uid="{00000000-0005-0000-0000-0000DB050000}"/>
    <cellStyle name="40% - Accent3 4" xfId="739" xr:uid="{00000000-0005-0000-0000-0000DC050000}"/>
    <cellStyle name="40% - Accent3 5" xfId="740" xr:uid="{00000000-0005-0000-0000-0000DD050000}"/>
    <cellStyle name="40% - Accent3 6" xfId="741" xr:uid="{00000000-0005-0000-0000-0000DE050000}"/>
    <cellStyle name="40% - Accent3 7" xfId="742" xr:uid="{00000000-0005-0000-0000-0000DF050000}"/>
    <cellStyle name="40% - Accent3 8" xfId="743" xr:uid="{00000000-0005-0000-0000-0000E0050000}"/>
    <cellStyle name="40% - Accent3 9" xfId="744" xr:uid="{00000000-0005-0000-0000-0000E1050000}"/>
    <cellStyle name="40% - Accent4" xfId="243" builtinId="43" customBuiltin="1"/>
    <cellStyle name="40% - Accent4 10" xfId="745" xr:uid="{00000000-0005-0000-0000-0000E3050000}"/>
    <cellStyle name="40% - Accent4 11" xfId="746" xr:uid="{00000000-0005-0000-0000-0000E4050000}"/>
    <cellStyle name="40% - Accent4 12" xfId="747" xr:uid="{00000000-0005-0000-0000-0000E5050000}"/>
    <cellStyle name="40% - Accent4 13" xfId="748" xr:uid="{00000000-0005-0000-0000-0000E6050000}"/>
    <cellStyle name="40% - Accent4 14" xfId="749" xr:uid="{00000000-0005-0000-0000-0000E7050000}"/>
    <cellStyle name="40% - Accent4 15" xfId="750" xr:uid="{00000000-0005-0000-0000-0000E8050000}"/>
    <cellStyle name="40% - Accent4 16" xfId="751" xr:uid="{00000000-0005-0000-0000-0000E9050000}"/>
    <cellStyle name="40% - Accent4 16 2" xfId="752" xr:uid="{00000000-0005-0000-0000-0000EA050000}"/>
    <cellStyle name="40% - Accent4 16 2 2" xfId="753" xr:uid="{00000000-0005-0000-0000-0000EB050000}"/>
    <cellStyle name="40% - Accent4 16 2 2 2" xfId="754" xr:uid="{00000000-0005-0000-0000-0000EC050000}"/>
    <cellStyle name="40% - Accent4 16 2 2 2 2" xfId="2776" xr:uid="{00000000-0005-0000-0000-0000ED050000}"/>
    <cellStyle name="40% - Accent4 16 2 2 2 2 2" xfId="4654" xr:uid="{00000000-0005-0000-0000-0000EE050000}"/>
    <cellStyle name="40% - Accent4 16 2 2 2 3" xfId="3968" xr:uid="{00000000-0005-0000-0000-0000EF050000}"/>
    <cellStyle name="40% - Accent4 16 2 2 3" xfId="2775" xr:uid="{00000000-0005-0000-0000-0000F0050000}"/>
    <cellStyle name="40% - Accent4 16 2 2 3 2" xfId="4653" xr:uid="{00000000-0005-0000-0000-0000F1050000}"/>
    <cellStyle name="40% - Accent4 16 2 2 4" xfId="3967" xr:uid="{00000000-0005-0000-0000-0000F2050000}"/>
    <cellStyle name="40% - Accent4 16 2 3" xfId="755" xr:uid="{00000000-0005-0000-0000-0000F3050000}"/>
    <cellStyle name="40% - Accent4 16 2 3 2" xfId="756" xr:uid="{00000000-0005-0000-0000-0000F4050000}"/>
    <cellStyle name="40% - Accent4 16 2 3 2 2" xfId="2778" xr:uid="{00000000-0005-0000-0000-0000F5050000}"/>
    <cellStyle name="40% - Accent4 16 2 3 2 2 2" xfId="4656" xr:uid="{00000000-0005-0000-0000-0000F6050000}"/>
    <cellStyle name="40% - Accent4 16 2 3 2 3" xfId="3970" xr:uid="{00000000-0005-0000-0000-0000F7050000}"/>
    <cellStyle name="40% - Accent4 16 2 3 3" xfId="2777" xr:uid="{00000000-0005-0000-0000-0000F8050000}"/>
    <cellStyle name="40% - Accent4 16 2 3 3 2" xfId="4655" xr:uid="{00000000-0005-0000-0000-0000F9050000}"/>
    <cellStyle name="40% - Accent4 16 2 3 4" xfId="3969" xr:uid="{00000000-0005-0000-0000-0000FA050000}"/>
    <cellStyle name="40% - Accent4 16 2 4" xfId="757" xr:uid="{00000000-0005-0000-0000-0000FB050000}"/>
    <cellStyle name="40% - Accent4 16 2 4 2" xfId="758" xr:uid="{00000000-0005-0000-0000-0000FC050000}"/>
    <cellStyle name="40% - Accent4 16 2 4 2 2" xfId="2780" xr:uid="{00000000-0005-0000-0000-0000FD050000}"/>
    <cellStyle name="40% - Accent4 16 2 4 2 2 2" xfId="4658" xr:uid="{00000000-0005-0000-0000-0000FE050000}"/>
    <cellStyle name="40% - Accent4 16 2 4 2 3" xfId="3972" xr:uid="{00000000-0005-0000-0000-0000FF050000}"/>
    <cellStyle name="40% - Accent4 16 2 4 3" xfId="2779" xr:uid="{00000000-0005-0000-0000-000000060000}"/>
    <cellStyle name="40% - Accent4 16 2 4 3 2" xfId="4657" xr:uid="{00000000-0005-0000-0000-000001060000}"/>
    <cellStyle name="40% - Accent4 16 2 4 4" xfId="3971" xr:uid="{00000000-0005-0000-0000-000002060000}"/>
    <cellStyle name="40% - Accent4 16 2 5" xfId="759" xr:uid="{00000000-0005-0000-0000-000003060000}"/>
    <cellStyle name="40% - Accent4 16 2 5 2" xfId="2781" xr:uid="{00000000-0005-0000-0000-000004060000}"/>
    <cellStyle name="40% - Accent4 16 2 5 2 2" xfId="4659" xr:uid="{00000000-0005-0000-0000-000005060000}"/>
    <cellStyle name="40% - Accent4 16 2 5 3" xfId="3973" xr:uid="{00000000-0005-0000-0000-000006060000}"/>
    <cellStyle name="40% - Accent4 16 2 6" xfId="2247" xr:uid="{00000000-0005-0000-0000-000007060000}"/>
    <cellStyle name="40% - Accent4 16 2 6 2" xfId="2961" xr:uid="{00000000-0005-0000-0000-000008060000}"/>
    <cellStyle name="40% - Accent4 16 2 6 2 2" xfId="4836" xr:uid="{00000000-0005-0000-0000-000009060000}"/>
    <cellStyle name="40% - Accent4 16 2 6 3" xfId="4149" xr:uid="{00000000-0005-0000-0000-00000A060000}"/>
    <cellStyle name="40% - Accent4 16 2 7" xfId="2774" xr:uid="{00000000-0005-0000-0000-00000B060000}"/>
    <cellStyle name="40% - Accent4 16 2 7 2" xfId="4652" xr:uid="{00000000-0005-0000-0000-00000C060000}"/>
    <cellStyle name="40% - Accent4 16 2 8" xfId="3966" xr:uid="{00000000-0005-0000-0000-00000D060000}"/>
    <cellStyle name="40% - Accent4 16 3" xfId="760" xr:uid="{00000000-0005-0000-0000-00000E060000}"/>
    <cellStyle name="40% - Accent4 16 3 2" xfId="761" xr:uid="{00000000-0005-0000-0000-00000F060000}"/>
    <cellStyle name="40% - Accent4 16 3 2 2" xfId="2783" xr:uid="{00000000-0005-0000-0000-000010060000}"/>
    <cellStyle name="40% - Accent4 16 3 2 2 2" xfId="4661" xr:uid="{00000000-0005-0000-0000-000011060000}"/>
    <cellStyle name="40% - Accent4 16 3 2 3" xfId="3975" xr:uid="{00000000-0005-0000-0000-000012060000}"/>
    <cellStyle name="40% - Accent4 16 3 3" xfId="2782" xr:uid="{00000000-0005-0000-0000-000013060000}"/>
    <cellStyle name="40% - Accent4 16 3 3 2" xfId="4660" xr:uid="{00000000-0005-0000-0000-000014060000}"/>
    <cellStyle name="40% - Accent4 16 3 4" xfId="3974" xr:uid="{00000000-0005-0000-0000-000015060000}"/>
    <cellStyle name="40% - Accent4 16 4" xfId="762" xr:uid="{00000000-0005-0000-0000-000016060000}"/>
    <cellStyle name="40% - Accent4 16 4 2" xfId="763" xr:uid="{00000000-0005-0000-0000-000017060000}"/>
    <cellStyle name="40% - Accent4 16 4 2 2" xfId="2785" xr:uid="{00000000-0005-0000-0000-000018060000}"/>
    <cellStyle name="40% - Accent4 16 4 2 2 2" xfId="4663" xr:uid="{00000000-0005-0000-0000-000019060000}"/>
    <cellStyle name="40% - Accent4 16 4 2 3" xfId="3977" xr:uid="{00000000-0005-0000-0000-00001A060000}"/>
    <cellStyle name="40% - Accent4 16 4 3" xfId="2784" xr:uid="{00000000-0005-0000-0000-00001B060000}"/>
    <cellStyle name="40% - Accent4 16 4 3 2" xfId="4662" xr:uid="{00000000-0005-0000-0000-00001C060000}"/>
    <cellStyle name="40% - Accent4 16 4 4" xfId="3976" xr:uid="{00000000-0005-0000-0000-00001D060000}"/>
    <cellStyle name="40% - Accent4 16 5" xfId="764" xr:uid="{00000000-0005-0000-0000-00001E060000}"/>
    <cellStyle name="40% - Accent4 16 5 2" xfId="765" xr:uid="{00000000-0005-0000-0000-00001F060000}"/>
    <cellStyle name="40% - Accent4 16 5 2 2" xfId="2787" xr:uid="{00000000-0005-0000-0000-000020060000}"/>
    <cellStyle name="40% - Accent4 16 5 2 2 2" xfId="4665" xr:uid="{00000000-0005-0000-0000-000021060000}"/>
    <cellStyle name="40% - Accent4 16 5 2 3" xfId="3979" xr:uid="{00000000-0005-0000-0000-000022060000}"/>
    <cellStyle name="40% - Accent4 16 5 3" xfId="2786" xr:uid="{00000000-0005-0000-0000-000023060000}"/>
    <cellStyle name="40% - Accent4 16 5 3 2" xfId="4664" xr:uid="{00000000-0005-0000-0000-000024060000}"/>
    <cellStyle name="40% - Accent4 16 5 4" xfId="3978" xr:uid="{00000000-0005-0000-0000-000025060000}"/>
    <cellStyle name="40% - Accent4 16 6" xfId="766" xr:uid="{00000000-0005-0000-0000-000026060000}"/>
    <cellStyle name="40% - Accent4 16 6 2" xfId="2788" xr:uid="{00000000-0005-0000-0000-000027060000}"/>
    <cellStyle name="40% - Accent4 16 6 2 2" xfId="4666" xr:uid="{00000000-0005-0000-0000-000028060000}"/>
    <cellStyle name="40% - Accent4 16 6 3" xfId="3980" xr:uid="{00000000-0005-0000-0000-000029060000}"/>
    <cellStyle name="40% - Accent4 16 7" xfId="2221" xr:uid="{00000000-0005-0000-0000-00002A060000}"/>
    <cellStyle name="40% - Accent4 16 7 2" xfId="2935" xr:uid="{00000000-0005-0000-0000-00002B060000}"/>
    <cellStyle name="40% - Accent4 16 7 2 2" xfId="4810" xr:uid="{00000000-0005-0000-0000-00002C060000}"/>
    <cellStyle name="40% - Accent4 16 7 3" xfId="4123" xr:uid="{00000000-0005-0000-0000-00002D060000}"/>
    <cellStyle name="40% - Accent4 16 8" xfId="2773" xr:uid="{00000000-0005-0000-0000-00002E060000}"/>
    <cellStyle name="40% - Accent4 16 8 2" xfId="4651" xr:uid="{00000000-0005-0000-0000-00002F060000}"/>
    <cellStyle name="40% - Accent4 16 9" xfId="3965" xr:uid="{00000000-0005-0000-0000-000030060000}"/>
    <cellStyle name="40% - Accent4 17" xfId="767" xr:uid="{00000000-0005-0000-0000-000031060000}"/>
    <cellStyle name="40% - Accent4 18" xfId="768" xr:uid="{00000000-0005-0000-0000-000032060000}"/>
    <cellStyle name="40% - Accent4 19" xfId="769" xr:uid="{00000000-0005-0000-0000-000033060000}"/>
    <cellStyle name="40% - Accent4 2" xfId="770" xr:uid="{00000000-0005-0000-0000-000034060000}"/>
    <cellStyle name="40% - Accent4 2 2" xfId="771" xr:uid="{00000000-0005-0000-0000-000035060000}"/>
    <cellStyle name="40% - Accent4 2 3" xfId="772" xr:uid="{00000000-0005-0000-0000-000036060000}"/>
    <cellStyle name="40% - Accent4 2 4" xfId="773" xr:uid="{00000000-0005-0000-0000-000037060000}"/>
    <cellStyle name="40% - Accent4 2 5" xfId="774" xr:uid="{00000000-0005-0000-0000-000038060000}"/>
    <cellStyle name="40% - Accent4 20" xfId="775" xr:uid="{00000000-0005-0000-0000-000039060000}"/>
    <cellStyle name="40% - Accent4 21" xfId="776" xr:uid="{00000000-0005-0000-0000-00003A060000}"/>
    <cellStyle name="40% - Accent4 21 2" xfId="777" xr:uid="{00000000-0005-0000-0000-00003B060000}"/>
    <cellStyle name="40% - Accent4 21 2 2" xfId="778" xr:uid="{00000000-0005-0000-0000-00003C060000}"/>
    <cellStyle name="40% - Accent4 21 2 2 2" xfId="2791" xr:uid="{00000000-0005-0000-0000-00003D060000}"/>
    <cellStyle name="40% - Accent4 21 2 2 2 2" xfId="4669" xr:uid="{00000000-0005-0000-0000-00003E060000}"/>
    <cellStyle name="40% - Accent4 21 2 2 3" xfId="3983" xr:uid="{00000000-0005-0000-0000-00003F060000}"/>
    <cellStyle name="40% - Accent4 21 2 3" xfId="2790" xr:uid="{00000000-0005-0000-0000-000040060000}"/>
    <cellStyle name="40% - Accent4 21 2 3 2" xfId="4668" xr:uid="{00000000-0005-0000-0000-000041060000}"/>
    <cellStyle name="40% - Accent4 21 2 4" xfId="3982" xr:uid="{00000000-0005-0000-0000-000042060000}"/>
    <cellStyle name="40% - Accent4 21 3" xfId="779" xr:uid="{00000000-0005-0000-0000-000043060000}"/>
    <cellStyle name="40% - Accent4 21 3 2" xfId="780" xr:uid="{00000000-0005-0000-0000-000044060000}"/>
    <cellStyle name="40% - Accent4 21 3 2 2" xfId="2793" xr:uid="{00000000-0005-0000-0000-000045060000}"/>
    <cellStyle name="40% - Accent4 21 3 2 2 2" xfId="4671" xr:uid="{00000000-0005-0000-0000-000046060000}"/>
    <cellStyle name="40% - Accent4 21 3 2 3" xfId="3985" xr:uid="{00000000-0005-0000-0000-000047060000}"/>
    <cellStyle name="40% - Accent4 21 3 3" xfId="2792" xr:uid="{00000000-0005-0000-0000-000048060000}"/>
    <cellStyle name="40% - Accent4 21 3 3 2" xfId="4670" xr:uid="{00000000-0005-0000-0000-000049060000}"/>
    <cellStyle name="40% - Accent4 21 3 4" xfId="3984" xr:uid="{00000000-0005-0000-0000-00004A060000}"/>
    <cellStyle name="40% - Accent4 21 4" xfId="781" xr:uid="{00000000-0005-0000-0000-00004B060000}"/>
    <cellStyle name="40% - Accent4 21 4 2" xfId="782" xr:uid="{00000000-0005-0000-0000-00004C060000}"/>
    <cellStyle name="40% - Accent4 21 4 2 2" xfId="2795" xr:uid="{00000000-0005-0000-0000-00004D060000}"/>
    <cellStyle name="40% - Accent4 21 4 2 2 2" xfId="4673" xr:uid="{00000000-0005-0000-0000-00004E060000}"/>
    <cellStyle name="40% - Accent4 21 4 2 3" xfId="3987" xr:uid="{00000000-0005-0000-0000-00004F060000}"/>
    <cellStyle name="40% - Accent4 21 4 3" xfId="2794" xr:uid="{00000000-0005-0000-0000-000050060000}"/>
    <cellStyle name="40% - Accent4 21 4 3 2" xfId="4672" xr:uid="{00000000-0005-0000-0000-000051060000}"/>
    <cellStyle name="40% - Accent4 21 4 4" xfId="3986" xr:uid="{00000000-0005-0000-0000-000052060000}"/>
    <cellStyle name="40% - Accent4 21 5" xfId="783" xr:uid="{00000000-0005-0000-0000-000053060000}"/>
    <cellStyle name="40% - Accent4 21 5 2" xfId="2796" xr:uid="{00000000-0005-0000-0000-000054060000}"/>
    <cellStyle name="40% - Accent4 21 5 2 2" xfId="4674" xr:uid="{00000000-0005-0000-0000-000055060000}"/>
    <cellStyle name="40% - Accent4 21 5 3" xfId="3988" xr:uid="{00000000-0005-0000-0000-000056060000}"/>
    <cellStyle name="40% - Accent4 21 6" xfId="2235" xr:uid="{00000000-0005-0000-0000-000057060000}"/>
    <cellStyle name="40% - Accent4 21 6 2" xfId="2949" xr:uid="{00000000-0005-0000-0000-000058060000}"/>
    <cellStyle name="40% - Accent4 21 6 2 2" xfId="4824" xr:uid="{00000000-0005-0000-0000-000059060000}"/>
    <cellStyle name="40% - Accent4 21 6 3" xfId="4137" xr:uid="{00000000-0005-0000-0000-00005A060000}"/>
    <cellStyle name="40% - Accent4 21 7" xfId="2789" xr:uid="{00000000-0005-0000-0000-00005B060000}"/>
    <cellStyle name="40% - Accent4 21 7 2" xfId="4667" xr:uid="{00000000-0005-0000-0000-00005C060000}"/>
    <cellStyle name="40% - Accent4 21 8" xfId="3981" xr:uid="{00000000-0005-0000-0000-00005D060000}"/>
    <cellStyle name="40% - Accent4 22" xfId="784" xr:uid="{00000000-0005-0000-0000-00005E060000}"/>
    <cellStyle name="40% - Accent4 22 2" xfId="785" xr:uid="{00000000-0005-0000-0000-00005F060000}"/>
    <cellStyle name="40% - Accent4 22 2 2" xfId="2798" xr:uid="{00000000-0005-0000-0000-000060060000}"/>
    <cellStyle name="40% - Accent4 22 2 2 2" xfId="4676" xr:uid="{00000000-0005-0000-0000-000061060000}"/>
    <cellStyle name="40% - Accent4 22 2 3" xfId="3990" xr:uid="{00000000-0005-0000-0000-000062060000}"/>
    <cellStyle name="40% - Accent4 22 3" xfId="2797" xr:uid="{00000000-0005-0000-0000-000063060000}"/>
    <cellStyle name="40% - Accent4 22 3 2" xfId="4675" xr:uid="{00000000-0005-0000-0000-000064060000}"/>
    <cellStyle name="40% - Accent4 22 4" xfId="3989" xr:uid="{00000000-0005-0000-0000-000065060000}"/>
    <cellStyle name="40% - Accent4 23" xfId="786" xr:uid="{00000000-0005-0000-0000-000066060000}"/>
    <cellStyle name="40% - Accent4 23 2" xfId="787" xr:uid="{00000000-0005-0000-0000-000067060000}"/>
    <cellStyle name="40% - Accent4 23 2 2" xfId="2800" xr:uid="{00000000-0005-0000-0000-000068060000}"/>
    <cellStyle name="40% - Accent4 23 2 2 2" xfId="4678" xr:uid="{00000000-0005-0000-0000-000069060000}"/>
    <cellStyle name="40% - Accent4 23 2 3" xfId="3992" xr:uid="{00000000-0005-0000-0000-00006A060000}"/>
    <cellStyle name="40% - Accent4 23 3" xfId="2799" xr:uid="{00000000-0005-0000-0000-00006B060000}"/>
    <cellStyle name="40% - Accent4 23 3 2" xfId="4677" xr:uid="{00000000-0005-0000-0000-00006C060000}"/>
    <cellStyle name="40% - Accent4 23 4" xfId="3991" xr:uid="{00000000-0005-0000-0000-00006D060000}"/>
    <cellStyle name="40% - Accent4 24" xfId="788" xr:uid="{00000000-0005-0000-0000-00006E060000}"/>
    <cellStyle name="40% - Accent4 24 2" xfId="789" xr:uid="{00000000-0005-0000-0000-00006F060000}"/>
    <cellStyle name="40% - Accent4 24 2 2" xfId="2802" xr:uid="{00000000-0005-0000-0000-000070060000}"/>
    <cellStyle name="40% - Accent4 24 2 2 2" xfId="4680" xr:uid="{00000000-0005-0000-0000-000071060000}"/>
    <cellStyle name="40% - Accent4 24 2 3" xfId="3994" xr:uid="{00000000-0005-0000-0000-000072060000}"/>
    <cellStyle name="40% - Accent4 24 3" xfId="2801" xr:uid="{00000000-0005-0000-0000-000073060000}"/>
    <cellStyle name="40% - Accent4 24 3 2" xfId="4679" xr:uid="{00000000-0005-0000-0000-000074060000}"/>
    <cellStyle name="40% - Accent4 24 4" xfId="3993" xr:uid="{00000000-0005-0000-0000-000075060000}"/>
    <cellStyle name="40% - Accent4 25" xfId="790" xr:uid="{00000000-0005-0000-0000-000076060000}"/>
    <cellStyle name="40% - Accent4 25 2" xfId="2803" xr:uid="{00000000-0005-0000-0000-000077060000}"/>
    <cellStyle name="40% - Accent4 25 2 2" xfId="4681" xr:uid="{00000000-0005-0000-0000-000078060000}"/>
    <cellStyle name="40% - Accent4 25 3" xfId="3995" xr:uid="{00000000-0005-0000-0000-000079060000}"/>
    <cellStyle name="40% - Accent4 26" xfId="2209" xr:uid="{00000000-0005-0000-0000-00007A060000}"/>
    <cellStyle name="40% - Accent4 26 2" xfId="2923" xr:uid="{00000000-0005-0000-0000-00007B060000}"/>
    <cellStyle name="40% - Accent4 26 2 2" xfId="4798" xr:uid="{00000000-0005-0000-0000-00007C060000}"/>
    <cellStyle name="40% - Accent4 26 3" xfId="4111" xr:uid="{00000000-0005-0000-0000-00007D060000}"/>
    <cellStyle name="40% - Accent4 27" xfId="2488" xr:uid="{00000000-0005-0000-0000-00007E060000}"/>
    <cellStyle name="40% - Accent4 27 2" xfId="4367" xr:uid="{00000000-0005-0000-0000-00007F060000}"/>
    <cellStyle name="40% - Accent4 28" xfId="3679" xr:uid="{00000000-0005-0000-0000-000080060000}"/>
    <cellStyle name="40% - Accent4 3" xfId="791" xr:uid="{00000000-0005-0000-0000-000081060000}"/>
    <cellStyle name="40% - Accent4 4" xfId="792" xr:uid="{00000000-0005-0000-0000-000082060000}"/>
    <cellStyle name="40% - Accent4 5" xfId="793" xr:uid="{00000000-0005-0000-0000-000083060000}"/>
    <cellStyle name="40% - Accent4 6" xfId="794" xr:uid="{00000000-0005-0000-0000-000084060000}"/>
    <cellStyle name="40% - Accent4 7" xfId="795" xr:uid="{00000000-0005-0000-0000-000085060000}"/>
    <cellStyle name="40% - Accent4 8" xfId="796" xr:uid="{00000000-0005-0000-0000-000086060000}"/>
    <cellStyle name="40% - Accent4 9" xfId="797" xr:uid="{00000000-0005-0000-0000-000087060000}"/>
    <cellStyle name="40% - Accent5" xfId="247" builtinId="47" customBuiltin="1"/>
    <cellStyle name="40% - Accent5 10" xfId="798" xr:uid="{00000000-0005-0000-0000-000089060000}"/>
    <cellStyle name="40% - Accent5 11" xfId="799" xr:uid="{00000000-0005-0000-0000-00008A060000}"/>
    <cellStyle name="40% - Accent5 12" xfId="800" xr:uid="{00000000-0005-0000-0000-00008B060000}"/>
    <cellStyle name="40% - Accent5 13" xfId="801" xr:uid="{00000000-0005-0000-0000-00008C060000}"/>
    <cellStyle name="40% - Accent5 14" xfId="802" xr:uid="{00000000-0005-0000-0000-00008D060000}"/>
    <cellStyle name="40% - Accent5 15" xfId="803" xr:uid="{00000000-0005-0000-0000-00008E060000}"/>
    <cellStyle name="40% - Accent5 16" xfId="804" xr:uid="{00000000-0005-0000-0000-00008F060000}"/>
    <cellStyle name="40% - Accent5 16 2" xfId="805" xr:uid="{00000000-0005-0000-0000-000090060000}"/>
    <cellStyle name="40% - Accent5 16 2 2" xfId="806" xr:uid="{00000000-0005-0000-0000-000091060000}"/>
    <cellStyle name="40% - Accent5 16 2 2 2" xfId="807" xr:uid="{00000000-0005-0000-0000-000092060000}"/>
    <cellStyle name="40% - Accent5 16 2 2 2 2" xfId="2807" xr:uid="{00000000-0005-0000-0000-000093060000}"/>
    <cellStyle name="40% - Accent5 16 2 2 2 2 2" xfId="4685" xr:uid="{00000000-0005-0000-0000-000094060000}"/>
    <cellStyle name="40% - Accent5 16 2 2 2 3" xfId="3999" xr:uid="{00000000-0005-0000-0000-000095060000}"/>
    <cellStyle name="40% - Accent5 16 2 2 3" xfId="2806" xr:uid="{00000000-0005-0000-0000-000096060000}"/>
    <cellStyle name="40% - Accent5 16 2 2 3 2" xfId="4684" xr:uid="{00000000-0005-0000-0000-000097060000}"/>
    <cellStyle name="40% - Accent5 16 2 2 4" xfId="3998" xr:uid="{00000000-0005-0000-0000-000098060000}"/>
    <cellStyle name="40% - Accent5 16 2 3" xfId="808" xr:uid="{00000000-0005-0000-0000-000099060000}"/>
    <cellStyle name="40% - Accent5 16 2 3 2" xfId="809" xr:uid="{00000000-0005-0000-0000-00009A060000}"/>
    <cellStyle name="40% - Accent5 16 2 3 2 2" xfId="2809" xr:uid="{00000000-0005-0000-0000-00009B060000}"/>
    <cellStyle name="40% - Accent5 16 2 3 2 2 2" xfId="4687" xr:uid="{00000000-0005-0000-0000-00009C060000}"/>
    <cellStyle name="40% - Accent5 16 2 3 2 3" xfId="4001" xr:uid="{00000000-0005-0000-0000-00009D060000}"/>
    <cellStyle name="40% - Accent5 16 2 3 3" xfId="2808" xr:uid="{00000000-0005-0000-0000-00009E060000}"/>
    <cellStyle name="40% - Accent5 16 2 3 3 2" xfId="4686" xr:uid="{00000000-0005-0000-0000-00009F060000}"/>
    <cellStyle name="40% - Accent5 16 2 3 4" xfId="4000" xr:uid="{00000000-0005-0000-0000-0000A0060000}"/>
    <cellStyle name="40% - Accent5 16 2 4" xfId="810" xr:uid="{00000000-0005-0000-0000-0000A1060000}"/>
    <cellStyle name="40% - Accent5 16 2 4 2" xfId="811" xr:uid="{00000000-0005-0000-0000-0000A2060000}"/>
    <cellStyle name="40% - Accent5 16 2 4 2 2" xfId="2811" xr:uid="{00000000-0005-0000-0000-0000A3060000}"/>
    <cellStyle name="40% - Accent5 16 2 4 2 2 2" xfId="4689" xr:uid="{00000000-0005-0000-0000-0000A4060000}"/>
    <cellStyle name="40% - Accent5 16 2 4 2 3" xfId="4003" xr:uid="{00000000-0005-0000-0000-0000A5060000}"/>
    <cellStyle name="40% - Accent5 16 2 4 3" xfId="2810" xr:uid="{00000000-0005-0000-0000-0000A6060000}"/>
    <cellStyle name="40% - Accent5 16 2 4 3 2" xfId="4688" xr:uid="{00000000-0005-0000-0000-0000A7060000}"/>
    <cellStyle name="40% - Accent5 16 2 4 4" xfId="4002" xr:uid="{00000000-0005-0000-0000-0000A8060000}"/>
    <cellStyle name="40% - Accent5 16 2 5" xfId="812" xr:uid="{00000000-0005-0000-0000-0000A9060000}"/>
    <cellStyle name="40% - Accent5 16 2 5 2" xfId="2812" xr:uid="{00000000-0005-0000-0000-0000AA060000}"/>
    <cellStyle name="40% - Accent5 16 2 5 2 2" xfId="4690" xr:uid="{00000000-0005-0000-0000-0000AB060000}"/>
    <cellStyle name="40% - Accent5 16 2 5 3" xfId="4004" xr:uid="{00000000-0005-0000-0000-0000AC060000}"/>
    <cellStyle name="40% - Accent5 16 2 6" xfId="2249" xr:uid="{00000000-0005-0000-0000-0000AD060000}"/>
    <cellStyle name="40% - Accent5 16 2 6 2" xfId="2963" xr:uid="{00000000-0005-0000-0000-0000AE060000}"/>
    <cellStyle name="40% - Accent5 16 2 6 2 2" xfId="4838" xr:uid="{00000000-0005-0000-0000-0000AF060000}"/>
    <cellStyle name="40% - Accent5 16 2 6 3" xfId="4151" xr:uid="{00000000-0005-0000-0000-0000B0060000}"/>
    <cellStyle name="40% - Accent5 16 2 7" xfId="2805" xr:uid="{00000000-0005-0000-0000-0000B1060000}"/>
    <cellStyle name="40% - Accent5 16 2 7 2" xfId="4683" xr:uid="{00000000-0005-0000-0000-0000B2060000}"/>
    <cellStyle name="40% - Accent5 16 2 8" xfId="3997" xr:uid="{00000000-0005-0000-0000-0000B3060000}"/>
    <cellStyle name="40% - Accent5 16 3" xfId="813" xr:uid="{00000000-0005-0000-0000-0000B4060000}"/>
    <cellStyle name="40% - Accent5 16 3 2" xfId="814" xr:uid="{00000000-0005-0000-0000-0000B5060000}"/>
    <cellStyle name="40% - Accent5 16 3 2 2" xfId="2814" xr:uid="{00000000-0005-0000-0000-0000B6060000}"/>
    <cellStyle name="40% - Accent5 16 3 2 2 2" xfId="4692" xr:uid="{00000000-0005-0000-0000-0000B7060000}"/>
    <cellStyle name="40% - Accent5 16 3 2 3" xfId="4006" xr:uid="{00000000-0005-0000-0000-0000B8060000}"/>
    <cellStyle name="40% - Accent5 16 3 3" xfId="2813" xr:uid="{00000000-0005-0000-0000-0000B9060000}"/>
    <cellStyle name="40% - Accent5 16 3 3 2" xfId="4691" xr:uid="{00000000-0005-0000-0000-0000BA060000}"/>
    <cellStyle name="40% - Accent5 16 3 4" xfId="4005" xr:uid="{00000000-0005-0000-0000-0000BB060000}"/>
    <cellStyle name="40% - Accent5 16 4" xfId="815" xr:uid="{00000000-0005-0000-0000-0000BC060000}"/>
    <cellStyle name="40% - Accent5 16 4 2" xfId="816" xr:uid="{00000000-0005-0000-0000-0000BD060000}"/>
    <cellStyle name="40% - Accent5 16 4 2 2" xfId="2816" xr:uid="{00000000-0005-0000-0000-0000BE060000}"/>
    <cellStyle name="40% - Accent5 16 4 2 2 2" xfId="4694" xr:uid="{00000000-0005-0000-0000-0000BF060000}"/>
    <cellStyle name="40% - Accent5 16 4 2 3" xfId="4008" xr:uid="{00000000-0005-0000-0000-0000C0060000}"/>
    <cellStyle name="40% - Accent5 16 4 3" xfId="2815" xr:uid="{00000000-0005-0000-0000-0000C1060000}"/>
    <cellStyle name="40% - Accent5 16 4 3 2" xfId="4693" xr:uid="{00000000-0005-0000-0000-0000C2060000}"/>
    <cellStyle name="40% - Accent5 16 4 4" xfId="4007" xr:uid="{00000000-0005-0000-0000-0000C3060000}"/>
    <cellStyle name="40% - Accent5 16 5" xfId="817" xr:uid="{00000000-0005-0000-0000-0000C4060000}"/>
    <cellStyle name="40% - Accent5 16 5 2" xfId="818" xr:uid="{00000000-0005-0000-0000-0000C5060000}"/>
    <cellStyle name="40% - Accent5 16 5 2 2" xfId="2818" xr:uid="{00000000-0005-0000-0000-0000C6060000}"/>
    <cellStyle name="40% - Accent5 16 5 2 2 2" xfId="4696" xr:uid="{00000000-0005-0000-0000-0000C7060000}"/>
    <cellStyle name="40% - Accent5 16 5 2 3" xfId="4010" xr:uid="{00000000-0005-0000-0000-0000C8060000}"/>
    <cellStyle name="40% - Accent5 16 5 3" xfId="2817" xr:uid="{00000000-0005-0000-0000-0000C9060000}"/>
    <cellStyle name="40% - Accent5 16 5 3 2" xfId="4695" xr:uid="{00000000-0005-0000-0000-0000CA060000}"/>
    <cellStyle name="40% - Accent5 16 5 4" xfId="4009" xr:uid="{00000000-0005-0000-0000-0000CB060000}"/>
    <cellStyle name="40% - Accent5 16 6" xfId="819" xr:uid="{00000000-0005-0000-0000-0000CC060000}"/>
    <cellStyle name="40% - Accent5 16 6 2" xfId="2819" xr:uid="{00000000-0005-0000-0000-0000CD060000}"/>
    <cellStyle name="40% - Accent5 16 6 2 2" xfId="4697" xr:uid="{00000000-0005-0000-0000-0000CE060000}"/>
    <cellStyle name="40% - Accent5 16 6 3" xfId="4011" xr:uid="{00000000-0005-0000-0000-0000CF060000}"/>
    <cellStyle name="40% - Accent5 16 7" xfId="2223" xr:uid="{00000000-0005-0000-0000-0000D0060000}"/>
    <cellStyle name="40% - Accent5 16 7 2" xfId="2937" xr:uid="{00000000-0005-0000-0000-0000D1060000}"/>
    <cellStyle name="40% - Accent5 16 7 2 2" xfId="4812" xr:uid="{00000000-0005-0000-0000-0000D2060000}"/>
    <cellStyle name="40% - Accent5 16 7 3" xfId="4125" xr:uid="{00000000-0005-0000-0000-0000D3060000}"/>
    <cellStyle name="40% - Accent5 16 8" xfId="2804" xr:uid="{00000000-0005-0000-0000-0000D4060000}"/>
    <cellStyle name="40% - Accent5 16 8 2" xfId="4682" xr:uid="{00000000-0005-0000-0000-0000D5060000}"/>
    <cellStyle name="40% - Accent5 16 9" xfId="3996" xr:uid="{00000000-0005-0000-0000-0000D6060000}"/>
    <cellStyle name="40% - Accent5 17" xfId="820" xr:uid="{00000000-0005-0000-0000-0000D7060000}"/>
    <cellStyle name="40% - Accent5 18" xfId="821" xr:uid="{00000000-0005-0000-0000-0000D8060000}"/>
    <cellStyle name="40% - Accent5 19" xfId="822" xr:uid="{00000000-0005-0000-0000-0000D9060000}"/>
    <cellStyle name="40% - Accent5 2" xfId="823" xr:uid="{00000000-0005-0000-0000-0000DA060000}"/>
    <cellStyle name="40% - Accent5 2 2" xfId="824" xr:uid="{00000000-0005-0000-0000-0000DB060000}"/>
    <cellStyle name="40% - Accent5 2 3" xfId="825" xr:uid="{00000000-0005-0000-0000-0000DC060000}"/>
    <cellStyle name="40% - Accent5 2 4" xfId="826" xr:uid="{00000000-0005-0000-0000-0000DD060000}"/>
    <cellStyle name="40% - Accent5 2 5" xfId="827" xr:uid="{00000000-0005-0000-0000-0000DE060000}"/>
    <cellStyle name="40% - Accent5 20" xfId="828" xr:uid="{00000000-0005-0000-0000-0000DF060000}"/>
    <cellStyle name="40% - Accent5 21" xfId="829" xr:uid="{00000000-0005-0000-0000-0000E0060000}"/>
    <cellStyle name="40% - Accent5 21 2" xfId="830" xr:uid="{00000000-0005-0000-0000-0000E1060000}"/>
    <cellStyle name="40% - Accent5 21 2 2" xfId="831" xr:uid="{00000000-0005-0000-0000-0000E2060000}"/>
    <cellStyle name="40% - Accent5 21 2 2 2" xfId="2822" xr:uid="{00000000-0005-0000-0000-0000E3060000}"/>
    <cellStyle name="40% - Accent5 21 2 2 2 2" xfId="4700" xr:uid="{00000000-0005-0000-0000-0000E4060000}"/>
    <cellStyle name="40% - Accent5 21 2 2 3" xfId="4014" xr:uid="{00000000-0005-0000-0000-0000E5060000}"/>
    <cellStyle name="40% - Accent5 21 2 3" xfId="2821" xr:uid="{00000000-0005-0000-0000-0000E6060000}"/>
    <cellStyle name="40% - Accent5 21 2 3 2" xfId="4699" xr:uid="{00000000-0005-0000-0000-0000E7060000}"/>
    <cellStyle name="40% - Accent5 21 2 4" xfId="4013" xr:uid="{00000000-0005-0000-0000-0000E8060000}"/>
    <cellStyle name="40% - Accent5 21 3" xfId="832" xr:uid="{00000000-0005-0000-0000-0000E9060000}"/>
    <cellStyle name="40% - Accent5 21 3 2" xfId="833" xr:uid="{00000000-0005-0000-0000-0000EA060000}"/>
    <cellStyle name="40% - Accent5 21 3 2 2" xfId="2824" xr:uid="{00000000-0005-0000-0000-0000EB060000}"/>
    <cellStyle name="40% - Accent5 21 3 2 2 2" xfId="4702" xr:uid="{00000000-0005-0000-0000-0000EC060000}"/>
    <cellStyle name="40% - Accent5 21 3 2 3" xfId="4016" xr:uid="{00000000-0005-0000-0000-0000ED060000}"/>
    <cellStyle name="40% - Accent5 21 3 3" xfId="2823" xr:uid="{00000000-0005-0000-0000-0000EE060000}"/>
    <cellStyle name="40% - Accent5 21 3 3 2" xfId="4701" xr:uid="{00000000-0005-0000-0000-0000EF060000}"/>
    <cellStyle name="40% - Accent5 21 3 4" xfId="4015" xr:uid="{00000000-0005-0000-0000-0000F0060000}"/>
    <cellStyle name="40% - Accent5 21 4" xfId="834" xr:uid="{00000000-0005-0000-0000-0000F1060000}"/>
    <cellStyle name="40% - Accent5 21 4 2" xfId="835" xr:uid="{00000000-0005-0000-0000-0000F2060000}"/>
    <cellStyle name="40% - Accent5 21 4 2 2" xfId="2826" xr:uid="{00000000-0005-0000-0000-0000F3060000}"/>
    <cellStyle name="40% - Accent5 21 4 2 2 2" xfId="4704" xr:uid="{00000000-0005-0000-0000-0000F4060000}"/>
    <cellStyle name="40% - Accent5 21 4 2 3" xfId="4018" xr:uid="{00000000-0005-0000-0000-0000F5060000}"/>
    <cellStyle name="40% - Accent5 21 4 3" xfId="2825" xr:uid="{00000000-0005-0000-0000-0000F6060000}"/>
    <cellStyle name="40% - Accent5 21 4 3 2" xfId="4703" xr:uid="{00000000-0005-0000-0000-0000F7060000}"/>
    <cellStyle name="40% - Accent5 21 4 4" xfId="4017" xr:uid="{00000000-0005-0000-0000-0000F8060000}"/>
    <cellStyle name="40% - Accent5 21 5" xfId="836" xr:uid="{00000000-0005-0000-0000-0000F9060000}"/>
    <cellStyle name="40% - Accent5 21 5 2" xfId="2827" xr:uid="{00000000-0005-0000-0000-0000FA060000}"/>
    <cellStyle name="40% - Accent5 21 5 2 2" xfId="4705" xr:uid="{00000000-0005-0000-0000-0000FB060000}"/>
    <cellStyle name="40% - Accent5 21 5 3" xfId="4019" xr:uid="{00000000-0005-0000-0000-0000FC060000}"/>
    <cellStyle name="40% - Accent5 21 6" xfId="2236" xr:uid="{00000000-0005-0000-0000-0000FD060000}"/>
    <cellStyle name="40% - Accent5 21 6 2" xfId="2950" xr:uid="{00000000-0005-0000-0000-0000FE060000}"/>
    <cellStyle name="40% - Accent5 21 6 2 2" xfId="4825" xr:uid="{00000000-0005-0000-0000-0000FF060000}"/>
    <cellStyle name="40% - Accent5 21 6 3" xfId="4138" xr:uid="{00000000-0005-0000-0000-000000070000}"/>
    <cellStyle name="40% - Accent5 21 7" xfId="2820" xr:uid="{00000000-0005-0000-0000-000001070000}"/>
    <cellStyle name="40% - Accent5 21 7 2" xfId="4698" xr:uid="{00000000-0005-0000-0000-000002070000}"/>
    <cellStyle name="40% - Accent5 21 8" xfId="4012" xr:uid="{00000000-0005-0000-0000-000003070000}"/>
    <cellStyle name="40% - Accent5 22" xfId="837" xr:uid="{00000000-0005-0000-0000-000004070000}"/>
    <cellStyle name="40% - Accent5 22 2" xfId="838" xr:uid="{00000000-0005-0000-0000-000005070000}"/>
    <cellStyle name="40% - Accent5 22 2 2" xfId="2829" xr:uid="{00000000-0005-0000-0000-000006070000}"/>
    <cellStyle name="40% - Accent5 22 2 2 2" xfId="4707" xr:uid="{00000000-0005-0000-0000-000007070000}"/>
    <cellStyle name="40% - Accent5 22 2 3" xfId="4021" xr:uid="{00000000-0005-0000-0000-000008070000}"/>
    <cellStyle name="40% - Accent5 22 3" xfId="2828" xr:uid="{00000000-0005-0000-0000-000009070000}"/>
    <cellStyle name="40% - Accent5 22 3 2" xfId="4706" xr:uid="{00000000-0005-0000-0000-00000A070000}"/>
    <cellStyle name="40% - Accent5 22 4" xfId="4020" xr:uid="{00000000-0005-0000-0000-00000B070000}"/>
    <cellStyle name="40% - Accent5 23" xfId="839" xr:uid="{00000000-0005-0000-0000-00000C070000}"/>
    <cellStyle name="40% - Accent5 23 2" xfId="840" xr:uid="{00000000-0005-0000-0000-00000D070000}"/>
    <cellStyle name="40% - Accent5 23 2 2" xfId="2831" xr:uid="{00000000-0005-0000-0000-00000E070000}"/>
    <cellStyle name="40% - Accent5 23 2 2 2" xfId="4709" xr:uid="{00000000-0005-0000-0000-00000F070000}"/>
    <cellStyle name="40% - Accent5 23 2 3" xfId="4023" xr:uid="{00000000-0005-0000-0000-000010070000}"/>
    <cellStyle name="40% - Accent5 23 3" xfId="2830" xr:uid="{00000000-0005-0000-0000-000011070000}"/>
    <cellStyle name="40% - Accent5 23 3 2" xfId="4708" xr:uid="{00000000-0005-0000-0000-000012070000}"/>
    <cellStyle name="40% - Accent5 23 4" xfId="4022" xr:uid="{00000000-0005-0000-0000-000013070000}"/>
    <cellStyle name="40% - Accent5 24" xfId="841" xr:uid="{00000000-0005-0000-0000-000014070000}"/>
    <cellStyle name="40% - Accent5 24 2" xfId="842" xr:uid="{00000000-0005-0000-0000-000015070000}"/>
    <cellStyle name="40% - Accent5 24 2 2" xfId="2833" xr:uid="{00000000-0005-0000-0000-000016070000}"/>
    <cellStyle name="40% - Accent5 24 2 2 2" xfId="4711" xr:uid="{00000000-0005-0000-0000-000017070000}"/>
    <cellStyle name="40% - Accent5 24 2 3" xfId="4025" xr:uid="{00000000-0005-0000-0000-000018070000}"/>
    <cellStyle name="40% - Accent5 24 3" xfId="2832" xr:uid="{00000000-0005-0000-0000-000019070000}"/>
    <cellStyle name="40% - Accent5 24 3 2" xfId="4710" xr:uid="{00000000-0005-0000-0000-00001A070000}"/>
    <cellStyle name="40% - Accent5 24 4" xfId="4024" xr:uid="{00000000-0005-0000-0000-00001B070000}"/>
    <cellStyle name="40% - Accent5 25" xfId="843" xr:uid="{00000000-0005-0000-0000-00001C070000}"/>
    <cellStyle name="40% - Accent5 25 2" xfId="2834" xr:uid="{00000000-0005-0000-0000-00001D070000}"/>
    <cellStyle name="40% - Accent5 25 2 2" xfId="4712" xr:uid="{00000000-0005-0000-0000-00001E070000}"/>
    <cellStyle name="40% - Accent5 25 3" xfId="4026" xr:uid="{00000000-0005-0000-0000-00001F070000}"/>
    <cellStyle name="40% - Accent5 26" xfId="2210" xr:uid="{00000000-0005-0000-0000-000020070000}"/>
    <cellStyle name="40% - Accent5 26 2" xfId="2924" xr:uid="{00000000-0005-0000-0000-000021070000}"/>
    <cellStyle name="40% - Accent5 26 2 2" xfId="4799" xr:uid="{00000000-0005-0000-0000-000022070000}"/>
    <cellStyle name="40% - Accent5 26 3" xfId="4112" xr:uid="{00000000-0005-0000-0000-000023070000}"/>
    <cellStyle name="40% - Accent5 27" xfId="2490" xr:uid="{00000000-0005-0000-0000-000024070000}"/>
    <cellStyle name="40% - Accent5 27 2" xfId="4369" xr:uid="{00000000-0005-0000-0000-000025070000}"/>
    <cellStyle name="40% - Accent5 28" xfId="3681" xr:uid="{00000000-0005-0000-0000-000026070000}"/>
    <cellStyle name="40% - Accent5 3" xfId="844" xr:uid="{00000000-0005-0000-0000-000027070000}"/>
    <cellStyle name="40% - Accent5 4" xfId="845" xr:uid="{00000000-0005-0000-0000-000028070000}"/>
    <cellStyle name="40% - Accent5 5" xfId="846" xr:uid="{00000000-0005-0000-0000-000029070000}"/>
    <cellStyle name="40% - Accent5 6" xfId="847" xr:uid="{00000000-0005-0000-0000-00002A070000}"/>
    <cellStyle name="40% - Accent5 7" xfId="848" xr:uid="{00000000-0005-0000-0000-00002B070000}"/>
    <cellStyle name="40% - Accent5 8" xfId="849" xr:uid="{00000000-0005-0000-0000-00002C070000}"/>
    <cellStyle name="40% - Accent5 9" xfId="850" xr:uid="{00000000-0005-0000-0000-00002D070000}"/>
    <cellStyle name="40% - Accent6" xfId="251" builtinId="51" customBuiltin="1"/>
    <cellStyle name="40% - Accent6 10" xfId="851" xr:uid="{00000000-0005-0000-0000-00002F070000}"/>
    <cellStyle name="40% - Accent6 11" xfId="852" xr:uid="{00000000-0005-0000-0000-000030070000}"/>
    <cellStyle name="40% - Accent6 12" xfId="853" xr:uid="{00000000-0005-0000-0000-000031070000}"/>
    <cellStyle name="40% - Accent6 13" xfId="854" xr:uid="{00000000-0005-0000-0000-000032070000}"/>
    <cellStyle name="40% - Accent6 14" xfId="855" xr:uid="{00000000-0005-0000-0000-000033070000}"/>
    <cellStyle name="40% - Accent6 15" xfId="856" xr:uid="{00000000-0005-0000-0000-000034070000}"/>
    <cellStyle name="40% - Accent6 16" xfId="857" xr:uid="{00000000-0005-0000-0000-000035070000}"/>
    <cellStyle name="40% - Accent6 16 2" xfId="858" xr:uid="{00000000-0005-0000-0000-000036070000}"/>
    <cellStyle name="40% - Accent6 16 2 2" xfId="859" xr:uid="{00000000-0005-0000-0000-000037070000}"/>
    <cellStyle name="40% - Accent6 16 2 2 2" xfId="860" xr:uid="{00000000-0005-0000-0000-000038070000}"/>
    <cellStyle name="40% - Accent6 16 2 2 2 2" xfId="2838" xr:uid="{00000000-0005-0000-0000-000039070000}"/>
    <cellStyle name="40% - Accent6 16 2 2 2 2 2" xfId="4716" xr:uid="{00000000-0005-0000-0000-00003A070000}"/>
    <cellStyle name="40% - Accent6 16 2 2 2 3" xfId="4030" xr:uid="{00000000-0005-0000-0000-00003B070000}"/>
    <cellStyle name="40% - Accent6 16 2 2 3" xfId="2837" xr:uid="{00000000-0005-0000-0000-00003C070000}"/>
    <cellStyle name="40% - Accent6 16 2 2 3 2" xfId="4715" xr:uid="{00000000-0005-0000-0000-00003D070000}"/>
    <cellStyle name="40% - Accent6 16 2 2 4" xfId="4029" xr:uid="{00000000-0005-0000-0000-00003E070000}"/>
    <cellStyle name="40% - Accent6 16 2 3" xfId="861" xr:uid="{00000000-0005-0000-0000-00003F070000}"/>
    <cellStyle name="40% - Accent6 16 2 3 2" xfId="862" xr:uid="{00000000-0005-0000-0000-000040070000}"/>
    <cellStyle name="40% - Accent6 16 2 3 2 2" xfId="2840" xr:uid="{00000000-0005-0000-0000-000041070000}"/>
    <cellStyle name="40% - Accent6 16 2 3 2 2 2" xfId="4718" xr:uid="{00000000-0005-0000-0000-000042070000}"/>
    <cellStyle name="40% - Accent6 16 2 3 2 3" xfId="4032" xr:uid="{00000000-0005-0000-0000-000043070000}"/>
    <cellStyle name="40% - Accent6 16 2 3 3" xfId="2839" xr:uid="{00000000-0005-0000-0000-000044070000}"/>
    <cellStyle name="40% - Accent6 16 2 3 3 2" xfId="4717" xr:uid="{00000000-0005-0000-0000-000045070000}"/>
    <cellStyle name="40% - Accent6 16 2 3 4" xfId="4031" xr:uid="{00000000-0005-0000-0000-000046070000}"/>
    <cellStyle name="40% - Accent6 16 2 4" xfId="863" xr:uid="{00000000-0005-0000-0000-000047070000}"/>
    <cellStyle name="40% - Accent6 16 2 4 2" xfId="864" xr:uid="{00000000-0005-0000-0000-000048070000}"/>
    <cellStyle name="40% - Accent6 16 2 4 2 2" xfId="2842" xr:uid="{00000000-0005-0000-0000-000049070000}"/>
    <cellStyle name="40% - Accent6 16 2 4 2 2 2" xfId="4720" xr:uid="{00000000-0005-0000-0000-00004A070000}"/>
    <cellStyle name="40% - Accent6 16 2 4 2 3" xfId="4034" xr:uid="{00000000-0005-0000-0000-00004B070000}"/>
    <cellStyle name="40% - Accent6 16 2 4 3" xfId="2841" xr:uid="{00000000-0005-0000-0000-00004C070000}"/>
    <cellStyle name="40% - Accent6 16 2 4 3 2" xfId="4719" xr:uid="{00000000-0005-0000-0000-00004D070000}"/>
    <cellStyle name="40% - Accent6 16 2 4 4" xfId="4033" xr:uid="{00000000-0005-0000-0000-00004E070000}"/>
    <cellStyle name="40% - Accent6 16 2 5" xfId="865" xr:uid="{00000000-0005-0000-0000-00004F070000}"/>
    <cellStyle name="40% - Accent6 16 2 5 2" xfId="2843" xr:uid="{00000000-0005-0000-0000-000050070000}"/>
    <cellStyle name="40% - Accent6 16 2 5 2 2" xfId="4721" xr:uid="{00000000-0005-0000-0000-000051070000}"/>
    <cellStyle name="40% - Accent6 16 2 5 3" xfId="4035" xr:uid="{00000000-0005-0000-0000-000052070000}"/>
    <cellStyle name="40% - Accent6 16 2 6" xfId="2251" xr:uid="{00000000-0005-0000-0000-000053070000}"/>
    <cellStyle name="40% - Accent6 16 2 6 2" xfId="2965" xr:uid="{00000000-0005-0000-0000-000054070000}"/>
    <cellStyle name="40% - Accent6 16 2 6 2 2" xfId="4840" xr:uid="{00000000-0005-0000-0000-000055070000}"/>
    <cellStyle name="40% - Accent6 16 2 6 3" xfId="4153" xr:uid="{00000000-0005-0000-0000-000056070000}"/>
    <cellStyle name="40% - Accent6 16 2 7" xfId="2836" xr:uid="{00000000-0005-0000-0000-000057070000}"/>
    <cellStyle name="40% - Accent6 16 2 7 2" xfId="4714" xr:uid="{00000000-0005-0000-0000-000058070000}"/>
    <cellStyle name="40% - Accent6 16 2 8" xfId="4028" xr:uid="{00000000-0005-0000-0000-000059070000}"/>
    <cellStyle name="40% - Accent6 16 3" xfId="866" xr:uid="{00000000-0005-0000-0000-00005A070000}"/>
    <cellStyle name="40% - Accent6 16 3 2" xfId="867" xr:uid="{00000000-0005-0000-0000-00005B070000}"/>
    <cellStyle name="40% - Accent6 16 3 2 2" xfId="2845" xr:uid="{00000000-0005-0000-0000-00005C070000}"/>
    <cellStyle name="40% - Accent6 16 3 2 2 2" xfId="4723" xr:uid="{00000000-0005-0000-0000-00005D070000}"/>
    <cellStyle name="40% - Accent6 16 3 2 3" xfId="4037" xr:uid="{00000000-0005-0000-0000-00005E070000}"/>
    <cellStyle name="40% - Accent6 16 3 3" xfId="2844" xr:uid="{00000000-0005-0000-0000-00005F070000}"/>
    <cellStyle name="40% - Accent6 16 3 3 2" xfId="4722" xr:uid="{00000000-0005-0000-0000-000060070000}"/>
    <cellStyle name="40% - Accent6 16 3 4" xfId="4036" xr:uid="{00000000-0005-0000-0000-000061070000}"/>
    <cellStyle name="40% - Accent6 16 4" xfId="868" xr:uid="{00000000-0005-0000-0000-000062070000}"/>
    <cellStyle name="40% - Accent6 16 4 2" xfId="869" xr:uid="{00000000-0005-0000-0000-000063070000}"/>
    <cellStyle name="40% - Accent6 16 4 2 2" xfId="2847" xr:uid="{00000000-0005-0000-0000-000064070000}"/>
    <cellStyle name="40% - Accent6 16 4 2 2 2" xfId="4725" xr:uid="{00000000-0005-0000-0000-000065070000}"/>
    <cellStyle name="40% - Accent6 16 4 2 3" xfId="4039" xr:uid="{00000000-0005-0000-0000-000066070000}"/>
    <cellStyle name="40% - Accent6 16 4 3" xfId="2846" xr:uid="{00000000-0005-0000-0000-000067070000}"/>
    <cellStyle name="40% - Accent6 16 4 3 2" xfId="4724" xr:uid="{00000000-0005-0000-0000-000068070000}"/>
    <cellStyle name="40% - Accent6 16 4 4" xfId="4038" xr:uid="{00000000-0005-0000-0000-000069070000}"/>
    <cellStyle name="40% - Accent6 16 5" xfId="870" xr:uid="{00000000-0005-0000-0000-00006A070000}"/>
    <cellStyle name="40% - Accent6 16 5 2" xfId="871" xr:uid="{00000000-0005-0000-0000-00006B070000}"/>
    <cellStyle name="40% - Accent6 16 5 2 2" xfId="2849" xr:uid="{00000000-0005-0000-0000-00006C070000}"/>
    <cellStyle name="40% - Accent6 16 5 2 2 2" xfId="4727" xr:uid="{00000000-0005-0000-0000-00006D070000}"/>
    <cellStyle name="40% - Accent6 16 5 2 3" xfId="4041" xr:uid="{00000000-0005-0000-0000-00006E070000}"/>
    <cellStyle name="40% - Accent6 16 5 3" xfId="2848" xr:uid="{00000000-0005-0000-0000-00006F070000}"/>
    <cellStyle name="40% - Accent6 16 5 3 2" xfId="4726" xr:uid="{00000000-0005-0000-0000-000070070000}"/>
    <cellStyle name="40% - Accent6 16 5 4" xfId="4040" xr:uid="{00000000-0005-0000-0000-000071070000}"/>
    <cellStyle name="40% - Accent6 16 6" xfId="872" xr:uid="{00000000-0005-0000-0000-000072070000}"/>
    <cellStyle name="40% - Accent6 16 6 2" xfId="2850" xr:uid="{00000000-0005-0000-0000-000073070000}"/>
    <cellStyle name="40% - Accent6 16 6 2 2" xfId="4728" xr:uid="{00000000-0005-0000-0000-000074070000}"/>
    <cellStyle name="40% - Accent6 16 6 3" xfId="4042" xr:uid="{00000000-0005-0000-0000-000075070000}"/>
    <cellStyle name="40% - Accent6 16 7" xfId="2225" xr:uid="{00000000-0005-0000-0000-000076070000}"/>
    <cellStyle name="40% - Accent6 16 7 2" xfId="2939" xr:uid="{00000000-0005-0000-0000-000077070000}"/>
    <cellStyle name="40% - Accent6 16 7 2 2" xfId="4814" xr:uid="{00000000-0005-0000-0000-000078070000}"/>
    <cellStyle name="40% - Accent6 16 7 3" xfId="4127" xr:uid="{00000000-0005-0000-0000-000079070000}"/>
    <cellStyle name="40% - Accent6 16 8" xfId="2835" xr:uid="{00000000-0005-0000-0000-00007A070000}"/>
    <cellStyle name="40% - Accent6 16 8 2" xfId="4713" xr:uid="{00000000-0005-0000-0000-00007B070000}"/>
    <cellStyle name="40% - Accent6 16 9" xfId="4027" xr:uid="{00000000-0005-0000-0000-00007C070000}"/>
    <cellStyle name="40% - Accent6 17" xfId="873" xr:uid="{00000000-0005-0000-0000-00007D070000}"/>
    <cellStyle name="40% - Accent6 18" xfId="874" xr:uid="{00000000-0005-0000-0000-00007E070000}"/>
    <cellStyle name="40% - Accent6 19" xfId="875" xr:uid="{00000000-0005-0000-0000-00007F070000}"/>
    <cellStyle name="40% - Accent6 2" xfId="876" xr:uid="{00000000-0005-0000-0000-000080070000}"/>
    <cellStyle name="40% - Accent6 2 2" xfId="877" xr:uid="{00000000-0005-0000-0000-000081070000}"/>
    <cellStyle name="40% - Accent6 2 3" xfId="878" xr:uid="{00000000-0005-0000-0000-000082070000}"/>
    <cellStyle name="40% - Accent6 2 4" xfId="879" xr:uid="{00000000-0005-0000-0000-000083070000}"/>
    <cellStyle name="40% - Accent6 2 5" xfId="880" xr:uid="{00000000-0005-0000-0000-000084070000}"/>
    <cellStyle name="40% - Accent6 20" xfId="881" xr:uid="{00000000-0005-0000-0000-000085070000}"/>
    <cellStyle name="40% - Accent6 21" xfId="882" xr:uid="{00000000-0005-0000-0000-000086070000}"/>
    <cellStyle name="40% - Accent6 21 2" xfId="883" xr:uid="{00000000-0005-0000-0000-000087070000}"/>
    <cellStyle name="40% - Accent6 21 2 2" xfId="884" xr:uid="{00000000-0005-0000-0000-000088070000}"/>
    <cellStyle name="40% - Accent6 21 2 2 2" xfId="2853" xr:uid="{00000000-0005-0000-0000-000089070000}"/>
    <cellStyle name="40% - Accent6 21 2 2 2 2" xfId="4731" xr:uid="{00000000-0005-0000-0000-00008A070000}"/>
    <cellStyle name="40% - Accent6 21 2 2 3" xfId="4045" xr:uid="{00000000-0005-0000-0000-00008B070000}"/>
    <cellStyle name="40% - Accent6 21 2 3" xfId="2852" xr:uid="{00000000-0005-0000-0000-00008C070000}"/>
    <cellStyle name="40% - Accent6 21 2 3 2" xfId="4730" xr:uid="{00000000-0005-0000-0000-00008D070000}"/>
    <cellStyle name="40% - Accent6 21 2 4" xfId="4044" xr:uid="{00000000-0005-0000-0000-00008E070000}"/>
    <cellStyle name="40% - Accent6 21 3" xfId="885" xr:uid="{00000000-0005-0000-0000-00008F070000}"/>
    <cellStyle name="40% - Accent6 21 3 2" xfId="886" xr:uid="{00000000-0005-0000-0000-000090070000}"/>
    <cellStyle name="40% - Accent6 21 3 2 2" xfId="2855" xr:uid="{00000000-0005-0000-0000-000091070000}"/>
    <cellStyle name="40% - Accent6 21 3 2 2 2" xfId="4733" xr:uid="{00000000-0005-0000-0000-000092070000}"/>
    <cellStyle name="40% - Accent6 21 3 2 3" xfId="4047" xr:uid="{00000000-0005-0000-0000-000093070000}"/>
    <cellStyle name="40% - Accent6 21 3 3" xfId="2854" xr:uid="{00000000-0005-0000-0000-000094070000}"/>
    <cellStyle name="40% - Accent6 21 3 3 2" xfId="4732" xr:uid="{00000000-0005-0000-0000-000095070000}"/>
    <cellStyle name="40% - Accent6 21 3 4" xfId="4046" xr:uid="{00000000-0005-0000-0000-000096070000}"/>
    <cellStyle name="40% - Accent6 21 4" xfId="887" xr:uid="{00000000-0005-0000-0000-000097070000}"/>
    <cellStyle name="40% - Accent6 21 4 2" xfId="888" xr:uid="{00000000-0005-0000-0000-000098070000}"/>
    <cellStyle name="40% - Accent6 21 4 2 2" xfId="2857" xr:uid="{00000000-0005-0000-0000-000099070000}"/>
    <cellStyle name="40% - Accent6 21 4 2 2 2" xfId="4735" xr:uid="{00000000-0005-0000-0000-00009A070000}"/>
    <cellStyle name="40% - Accent6 21 4 2 3" xfId="4049" xr:uid="{00000000-0005-0000-0000-00009B070000}"/>
    <cellStyle name="40% - Accent6 21 4 3" xfId="2856" xr:uid="{00000000-0005-0000-0000-00009C070000}"/>
    <cellStyle name="40% - Accent6 21 4 3 2" xfId="4734" xr:uid="{00000000-0005-0000-0000-00009D070000}"/>
    <cellStyle name="40% - Accent6 21 4 4" xfId="4048" xr:uid="{00000000-0005-0000-0000-00009E070000}"/>
    <cellStyle name="40% - Accent6 21 5" xfId="889" xr:uid="{00000000-0005-0000-0000-00009F070000}"/>
    <cellStyle name="40% - Accent6 21 5 2" xfId="2858" xr:uid="{00000000-0005-0000-0000-0000A0070000}"/>
    <cellStyle name="40% - Accent6 21 5 2 2" xfId="4736" xr:uid="{00000000-0005-0000-0000-0000A1070000}"/>
    <cellStyle name="40% - Accent6 21 5 3" xfId="4050" xr:uid="{00000000-0005-0000-0000-0000A2070000}"/>
    <cellStyle name="40% - Accent6 21 6" xfId="2237" xr:uid="{00000000-0005-0000-0000-0000A3070000}"/>
    <cellStyle name="40% - Accent6 21 6 2" xfId="2951" xr:uid="{00000000-0005-0000-0000-0000A4070000}"/>
    <cellStyle name="40% - Accent6 21 6 2 2" xfId="4826" xr:uid="{00000000-0005-0000-0000-0000A5070000}"/>
    <cellStyle name="40% - Accent6 21 6 3" xfId="4139" xr:uid="{00000000-0005-0000-0000-0000A6070000}"/>
    <cellStyle name="40% - Accent6 21 7" xfId="2851" xr:uid="{00000000-0005-0000-0000-0000A7070000}"/>
    <cellStyle name="40% - Accent6 21 7 2" xfId="4729" xr:uid="{00000000-0005-0000-0000-0000A8070000}"/>
    <cellStyle name="40% - Accent6 21 8" xfId="4043" xr:uid="{00000000-0005-0000-0000-0000A9070000}"/>
    <cellStyle name="40% - Accent6 22" xfId="890" xr:uid="{00000000-0005-0000-0000-0000AA070000}"/>
    <cellStyle name="40% - Accent6 22 2" xfId="891" xr:uid="{00000000-0005-0000-0000-0000AB070000}"/>
    <cellStyle name="40% - Accent6 22 2 2" xfId="2860" xr:uid="{00000000-0005-0000-0000-0000AC070000}"/>
    <cellStyle name="40% - Accent6 22 2 2 2" xfId="4738" xr:uid="{00000000-0005-0000-0000-0000AD070000}"/>
    <cellStyle name="40% - Accent6 22 2 3" xfId="4052" xr:uid="{00000000-0005-0000-0000-0000AE070000}"/>
    <cellStyle name="40% - Accent6 22 3" xfId="2859" xr:uid="{00000000-0005-0000-0000-0000AF070000}"/>
    <cellStyle name="40% - Accent6 22 3 2" xfId="4737" xr:uid="{00000000-0005-0000-0000-0000B0070000}"/>
    <cellStyle name="40% - Accent6 22 4" xfId="4051" xr:uid="{00000000-0005-0000-0000-0000B1070000}"/>
    <cellStyle name="40% - Accent6 23" xfId="892" xr:uid="{00000000-0005-0000-0000-0000B2070000}"/>
    <cellStyle name="40% - Accent6 23 2" xfId="893" xr:uid="{00000000-0005-0000-0000-0000B3070000}"/>
    <cellStyle name="40% - Accent6 23 2 2" xfId="2862" xr:uid="{00000000-0005-0000-0000-0000B4070000}"/>
    <cellStyle name="40% - Accent6 23 2 2 2" xfId="4740" xr:uid="{00000000-0005-0000-0000-0000B5070000}"/>
    <cellStyle name="40% - Accent6 23 2 3" xfId="4054" xr:uid="{00000000-0005-0000-0000-0000B6070000}"/>
    <cellStyle name="40% - Accent6 23 3" xfId="2861" xr:uid="{00000000-0005-0000-0000-0000B7070000}"/>
    <cellStyle name="40% - Accent6 23 3 2" xfId="4739" xr:uid="{00000000-0005-0000-0000-0000B8070000}"/>
    <cellStyle name="40% - Accent6 23 4" xfId="4053" xr:uid="{00000000-0005-0000-0000-0000B9070000}"/>
    <cellStyle name="40% - Accent6 24" xfId="894" xr:uid="{00000000-0005-0000-0000-0000BA070000}"/>
    <cellStyle name="40% - Accent6 24 2" xfId="895" xr:uid="{00000000-0005-0000-0000-0000BB070000}"/>
    <cellStyle name="40% - Accent6 24 2 2" xfId="2864" xr:uid="{00000000-0005-0000-0000-0000BC070000}"/>
    <cellStyle name="40% - Accent6 24 2 2 2" xfId="4742" xr:uid="{00000000-0005-0000-0000-0000BD070000}"/>
    <cellStyle name="40% - Accent6 24 2 3" xfId="4056" xr:uid="{00000000-0005-0000-0000-0000BE070000}"/>
    <cellStyle name="40% - Accent6 24 3" xfId="2863" xr:uid="{00000000-0005-0000-0000-0000BF070000}"/>
    <cellStyle name="40% - Accent6 24 3 2" xfId="4741" xr:uid="{00000000-0005-0000-0000-0000C0070000}"/>
    <cellStyle name="40% - Accent6 24 4" xfId="4055" xr:uid="{00000000-0005-0000-0000-0000C1070000}"/>
    <cellStyle name="40% - Accent6 25" xfId="896" xr:uid="{00000000-0005-0000-0000-0000C2070000}"/>
    <cellStyle name="40% - Accent6 25 2" xfId="2865" xr:uid="{00000000-0005-0000-0000-0000C3070000}"/>
    <cellStyle name="40% - Accent6 25 2 2" xfId="4743" xr:uid="{00000000-0005-0000-0000-0000C4070000}"/>
    <cellStyle name="40% - Accent6 25 3" xfId="4057" xr:uid="{00000000-0005-0000-0000-0000C5070000}"/>
    <cellStyle name="40% - Accent6 26" xfId="2211" xr:uid="{00000000-0005-0000-0000-0000C6070000}"/>
    <cellStyle name="40% - Accent6 26 2" xfId="2925" xr:uid="{00000000-0005-0000-0000-0000C7070000}"/>
    <cellStyle name="40% - Accent6 26 2 2" xfId="4800" xr:uid="{00000000-0005-0000-0000-0000C8070000}"/>
    <cellStyle name="40% - Accent6 26 3" xfId="4113" xr:uid="{00000000-0005-0000-0000-0000C9070000}"/>
    <cellStyle name="40% - Accent6 27" xfId="2492" xr:uid="{00000000-0005-0000-0000-0000CA070000}"/>
    <cellStyle name="40% - Accent6 27 2" xfId="4371" xr:uid="{00000000-0005-0000-0000-0000CB070000}"/>
    <cellStyle name="40% - Accent6 28" xfId="3683" xr:uid="{00000000-0005-0000-0000-0000CC070000}"/>
    <cellStyle name="40% - Accent6 3" xfId="897" xr:uid="{00000000-0005-0000-0000-0000CD070000}"/>
    <cellStyle name="40% - Accent6 4" xfId="898" xr:uid="{00000000-0005-0000-0000-0000CE070000}"/>
    <cellStyle name="40% - Accent6 5" xfId="899" xr:uid="{00000000-0005-0000-0000-0000CF070000}"/>
    <cellStyle name="40% - Accent6 6" xfId="900" xr:uid="{00000000-0005-0000-0000-0000D0070000}"/>
    <cellStyle name="40% - Accent6 7" xfId="901" xr:uid="{00000000-0005-0000-0000-0000D1070000}"/>
    <cellStyle name="40% - Accent6 8" xfId="902" xr:uid="{00000000-0005-0000-0000-0000D2070000}"/>
    <cellStyle name="40% - Accent6 9" xfId="903" xr:uid="{00000000-0005-0000-0000-0000D3070000}"/>
    <cellStyle name="60% - Accent1" xfId="232" builtinId="32" customBuiltin="1"/>
    <cellStyle name="60% - Accent1 10" xfId="904" xr:uid="{00000000-0005-0000-0000-0000D5070000}"/>
    <cellStyle name="60% - Accent1 11" xfId="905" xr:uid="{00000000-0005-0000-0000-0000D6070000}"/>
    <cellStyle name="60% - Accent1 12" xfId="906" xr:uid="{00000000-0005-0000-0000-0000D7070000}"/>
    <cellStyle name="60% - Accent1 13" xfId="907" xr:uid="{00000000-0005-0000-0000-0000D8070000}"/>
    <cellStyle name="60% - Accent1 14" xfId="908" xr:uid="{00000000-0005-0000-0000-0000D9070000}"/>
    <cellStyle name="60% - Accent1 15" xfId="909" xr:uid="{00000000-0005-0000-0000-0000DA070000}"/>
    <cellStyle name="60% - Accent1 16" xfId="910" xr:uid="{00000000-0005-0000-0000-0000DB070000}"/>
    <cellStyle name="60% - Accent1 17" xfId="911" xr:uid="{00000000-0005-0000-0000-0000DC070000}"/>
    <cellStyle name="60% - Accent1 18" xfId="912" xr:uid="{00000000-0005-0000-0000-0000DD070000}"/>
    <cellStyle name="60% - Accent1 19" xfId="913" xr:uid="{00000000-0005-0000-0000-0000DE070000}"/>
    <cellStyle name="60% - Accent1 2" xfId="914" xr:uid="{00000000-0005-0000-0000-0000DF070000}"/>
    <cellStyle name="60% - Accent1 2 2" xfId="915" xr:uid="{00000000-0005-0000-0000-0000E0070000}"/>
    <cellStyle name="60% - Accent1 2 3" xfId="916" xr:uid="{00000000-0005-0000-0000-0000E1070000}"/>
    <cellStyle name="60% - Accent1 2 4" xfId="917" xr:uid="{00000000-0005-0000-0000-0000E2070000}"/>
    <cellStyle name="60% - Accent1 2 5" xfId="918" xr:uid="{00000000-0005-0000-0000-0000E3070000}"/>
    <cellStyle name="60% - Accent1 3" xfId="919" xr:uid="{00000000-0005-0000-0000-0000E4070000}"/>
    <cellStyle name="60% - Accent1 4" xfId="920" xr:uid="{00000000-0005-0000-0000-0000E5070000}"/>
    <cellStyle name="60% - Accent1 5" xfId="921" xr:uid="{00000000-0005-0000-0000-0000E6070000}"/>
    <cellStyle name="60% - Accent1 6" xfId="922" xr:uid="{00000000-0005-0000-0000-0000E7070000}"/>
    <cellStyle name="60% - Accent1 7" xfId="923" xr:uid="{00000000-0005-0000-0000-0000E8070000}"/>
    <cellStyle name="60% - Accent1 8" xfId="924" xr:uid="{00000000-0005-0000-0000-0000E9070000}"/>
    <cellStyle name="60% - Accent1 9" xfId="925" xr:uid="{00000000-0005-0000-0000-0000EA070000}"/>
    <cellStyle name="60% - Accent2" xfId="236" builtinId="36" customBuiltin="1"/>
    <cellStyle name="60% - Accent2 10" xfId="926" xr:uid="{00000000-0005-0000-0000-0000EC070000}"/>
    <cellStyle name="60% - Accent2 11" xfId="927" xr:uid="{00000000-0005-0000-0000-0000ED070000}"/>
    <cellStyle name="60% - Accent2 12" xfId="928" xr:uid="{00000000-0005-0000-0000-0000EE070000}"/>
    <cellStyle name="60% - Accent2 13" xfId="929" xr:uid="{00000000-0005-0000-0000-0000EF070000}"/>
    <cellStyle name="60% - Accent2 14" xfId="930" xr:uid="{00000000-0005-0000-0000-0000F0070000}"/>
    <cellStyle name="60% - Accent2 15" xfId="931" xr:uid="{00000000-0005-0000-0000-0000F1070000}"/>
    <cellStyle name="60% - Accent2 16" xfId="932" xr:uid="{00000000-0005-0000-0000-0000F2070000}"/>
    <cellStyle name="60% - Accent2 17" xfId="933" xr:uid="{00000000-0005-0000-0000-0000F3070000}"/>
    <cellStyle name="60% - Accent2 18" xfId="934" xr:uid="{00000000-0005-0000-0000-0000F4070000}"/>
    <cellStyle name="60% - Accent2 19" xfId="935" xr:uid="{00000000-0005-0000-0000-0000F5070000}"/>
    <cellStyle name="60% - Accent2 2" xfId="936" xr:uid="{00000000-0005-0000-0000-0000F6070000}"/>
    <cellStyle name="60% - Accent2 2 2" xfId="937" xr:uid="{00000000-0005-0000-0000-0000F7070000}"/>
    <cellStyle name="60% - Accent2 2 3" xfId="938" xr:uid="{00000000-0005-0000-0000-0000F8070000}"/>
    <cellStyle name="60% - Accent2 2 4" xfId="939" xr:uid="{00000000-0005-0000-0000-0000F9070000}"/>
    <cellStyle name="60% - Accent2 2 5" xfId="940" xr:uid="{00000000-0005-0000-0000-0000FA070000}"/>
    <cellStyle name="60% - Accent2 3" xfId="941" xr:uid="{00000000-0005-0000-0000-0000FB070000}"/>
    <cellStyle name="60% - Accent2 4" xfId="942" xr:uid="{00000000-0005-0000-0000-0000FC070000}"/>
    <cellStyle name="60% - Accent2 5" xfId="943" xr:uid="{00000000-0005-0000-0000-0000FD070000}"/>
    <cellStyle name="60% - Accent2 6" xfId="944" xr:uid="{00000000-0005-0000-0000-0000FE070000}"/>
    <cellStyle name="60% - Accent2 7" xfId="945" xr:uid="{00000000-0005-0000-0000-0000FF070000}"/>
    <cellStyle name="60% - Accent2 8" xfId="946" xr:uid="{00000000-0005-0000-0000-000000080000}"/>
    <cellStyle name="60% - Accent2 9" xfId="947" xr:uid="{00000000-0005-0000-0000-000001080000}"/>
    <cellStyle name="60% - Accent3" xfId="240" builtinId="40" customBuiltin="1"/>
    <cellStyle name="60% - Accent3 10" xfId="948" xr:uid="{00000000-0005-0000-0000-000003080000}"/>
    <cellStyle name="60% - Accent3 11" xfId="949" xr:uid="{00000000-0005-0000-0000-000004080000}"/>
    <cellStyle name="60% - Accent3 12" xfId="950" xr:uid="{00000000-0005-0000-0000-000005080000}"/>
    <cellStyle name="60% - Accent3 13" xfId="951" xr:uid="{00000000-0005-0000-0000-000006080000}"/>
    <cellStyle name="60% - Accent3 14" xfId="952" xr:uid="{00000000-0005-0000-0000-000007080000}"/>
    <cellStyle name="60% - Accent3 15" xfId="953" xr:uid="{00000000-0005-0000-0000-000008080000}"/>
    <cellStyle name="60% - Accent3 16" xfId="954" xr:uid="{00000000-0005-0000-0000-000009080000}"/>
    <cellStyle name="60% - Accent3 17" xfId="955" xr:uid="{00000000-0005-0000-0000-00000A080000}"/>
    <cellStyle name="60% - Accent3 18" xfId="956" xr:uid="{00000000-0005-0000-0000-00000B080000}"/>
    <cellStyle name="60% - Accent3 19" xfId="957" xr:uid="{00000000-0005-0000-0000-00000C080000}"/>
    <cellStyle name="60% - Accent3 2" xfId="958" xr:uid="{00000000-0005-0000-0000-00000D080000}"/>
    <cellStyle name="60% - Accent3 2 2" xfId="959" xr:uid="{00000000-0005-0000-0000-00000E080000}"/>
    <cellStyle name="60% - Accent3 2 3" xfId="960" xr:uid="{00000000-0005-0000-0000-00000F080000}"/>
    <cellStyle name="60% - Accent3 2 4" xfId="961" xr:uid="{00000000-0005-0000-0000-000010080000}"/>
    <cellStyle name="60% - Accent3 2 5" xfId="962" xr:uid="{00000000-0005-0000-0000-000011080000}"/>
    <cellStyle name="60% - Accent3 3" xfId="963" xr:uid="{00000000-0005-0000-0000-000012080000}"/>
    <cellStyle name="60% - Accent3 4" xfId="964" xr:uid="{00000000-0005-0000-0000-000013080000}"/>
    <cellStyle name="60% - Accent3 5" xfId="965" xr:uid="{00000000-0005-0000-0000-000014080000}"/>
    <cellStyle name="60% - Accent3 6" xfId="966" xr:uid="{00000000-0005-0000-0000-000015080000}"/>
    <cellStyle name="60% - Accent3 7" xfId="967" xr:uid="{00000000-0005-0000-0000-000016080000}"/>
    <cellStyle name="60% - Accent3 8" xfId="968" xr:uid="{00000000-0005-0000-0000-000017080000}"/>
    <cellStyle name="60% - Accent3 9" xfId="969" xr:uid="{00000000-0005-0000-0000-000018080000}"/>
    <cellStyle name="60% - Accent4" xfId="244" builtinId="44" customBuiltin="1"/>
    <cellStyle name="60% - Accent4 10" xfId="970" xr:uid="{00000000-0005-0000-0000-00001A080000}"/>
    <cellStyle name="60% - Accent4 11" xfId="971" xr:uid="{00000000-0005-0000-0000-00001B080000}"/>
    <cellStyle name="60% - Accent4 12" xfId="972" xr:uid="{00000000-0005-0000-0000-00001C080000}"/>
    <cellStyle name="60% - Accent4 13" xfId="973" xr:uid="{00000000-0005-0000-0000-00001D080000}"/>
    <cellStyle name="60% - Accent4 14" xfId="974" xr:uid="{00000000-0005-0000-0000-00001E080000}"/>
    <cellStyle name="60% - Accent4 15" xfId="975" xr:uid="{00000000-0005-0000-0000-00001F080000}"/>
    <cellStyle name="60% - Accent4 16" xfId="976" xr:uid="{00000000-0005-0000-0000-000020080000}"/>
    <cellStyle name="60% - Accent4 17" xfId="977" xr:uid="{00000000-0005-0000-0000-000021080000}"/>
    <cellStyle name="60% - Accent4 18" xfId="978" xr:uid="{00000000-0005-0000-0000-000022080000}"/>
    <cellStyle name="60% - Accent4 19" xfId="979" xr:uid="{00000000-0005-0000-0000-000023080000}"/>
    <cellStyle name="60% - Accent4 2" xfId="980" xr:uid="{00000000-0005-0000-0000-000024080000}"/>
    <cellStyle name="60% - Accent4 2 2" xfId="981" xr:uid="{00000000-0005-0000-0000-000025080000}"/>
    <cellStyle name="60% - Accent4 2 3" xfId="982" xr:uid="{00000000-0005-0000-0000-000026080000}"/>
    <cellStyle name="60% - Accent4 2 4" xfId="983" xr:uid="{00000000-0005-0000-0000-000027080000}"/>
    <cellStyle name="60% - Accent4 2 5" xfId="984" xr:uid="{00000000-0005-0000-0000-000028080000}"/>
    <cellStyle name="60% - Accent4 3" xfId="985" xr:uid="{00000000-0005-0000-0000-000029080000}"/>
    <cellStyle name="60% - Accent4 4" xfId="986" xr:uid="{00000000-0005-0000-0000-00002A080000}"/>
    <cellStyle name="60% - Accent4 5" xfId="987" xr:uid="{00000000-0005-0000-0000-00002B080000}"/>
    <cellStyle name="60% - Accent4 6" xfId="988" xr:uid="{00000000-0005-0000-0000-00002C080000}"/>
    <cellStyle name="60% - Accent4 7" xfId="989" xr:uid="{00000000-0005-0000-0000-00002D080000}"/>
    <cellStyle name="60% - Accent4 8" xfId="990" xr:uid="{00000000-0005-0000-0000-00002E080000}"/>
    <cellStyle name="60% - Accent4 9" xfId="991" xr:uid="{00000000-0005-0000-0000-00002F080000}"/>
    <cellStyle name="60% - Accent5" xfId="248" builtinId="48" customBuiltin="1"/>
    <cellStyle name="60% - Accent5 10" xfId="992" xr:uid="{00000000-0005-0000-0000-000031080000}"/>
    <cellStyle name="60% - Accent5 11" xfId="993" xr:uid="{00000000-0005-0000-0000-000032080000}"/>
    <cellStyle name="60% - Accent5 12" xfId="994" xr:uid="{00000000-0005-0000-0000-000033080000}"/>
    <cellStyle name="60% - Accent5 13" xfId="995" xr:uid="{00000000-0005-0000-0000-000034080000}"/>
    <cellStyle name="60% - Accent5 14" xfId="996" xr:uid="{00000000-0005-0000-0000-000035080000}"/>
    <cellStyle name="60% - Accent5 15" xfId="997" xr:uid="{00000000-0005-0000-0000-000036080000}"/>
    <cellStyle name="60% - Accent5 16" xfId="998" xr:uid="{00000000-0005-0000-0000-000037080000}"/>
    <cellStyle name="60% - Accent5 17" xfId="999" xr:uid="{00000000-0005-0000-0000-000038080000}"/>
    <cellStyle name="60% - Accent5 18" xfId="1000" xr:uid="{00000000-0005-0000-0000-000039080000}"/>
    <cellStyle name="60% - Accent5 19" xfId="1001" xr:uid="{00000000-0005-0000-0000-00003A080000}"/>
    <cellStyle name="60% - Accent5 2" xfId="1002" xr:uid="{00000000-0005-0000-0000-00003B080000}"/>
    <cellStyle name="60% - Accent5 2 2" xfId="1003" xr:uid="{00000000-0005-0000-0000-00003C080000}"/>
    <cellStyle name="60% - Accent5 2 3" xfId="1004" xr:uid="{00000000-0005-0000-0000-00003D080000}"/>
    <cellStyle name="60% - Accent5 2 4" xfId="1005" xr:uid="{00000000-0005-0000-0000-00003E080000}"/>
    <cellStyle name="60% - Accent5 2 5" xfId="1006" xr:uid="{00000000-0005-0000-0000-00003F080000}"/>
    <cellStyle name="60% - Accent5 3" xfId="1007" xr:uid="{00000000-0005-0000-0000-000040080000}"/>
    <cellStyle name="60% - Accent5 4" xfId="1008" xr:uid="{00000000-0005-0000-0000-000041080000}"/>
    <cellStyle name="60% - Accent5 5" xfId="1009" xr:uid="{00000000-0005-0000-0000-000042080000}"/>
    <cellStyle name="60% - Accent5 6" xfId="1010" xr:uid="{00000000-0005-0000-0000-000043080000}"/>
    <cellStyle name="60% - Accent5 7" xfId="1011" xr:uid="{00000000-0005-0000-0000-000044080000}"/>
    <cellStyle name="60% - Accent5 8" xfId="1012" xr:uid="{00000000-0005-0000-0000-000045080000}"/>
    <cellStyle name="60% - Accent5 9" xfId="1013" xr:uid="{00000000-0005-0000-0000-000046080000}"/>
    <cellStyle name="60% - Accent6" xfId="252" builtinId="52" customBuiltin="1"/>
    <cellStyle name="60% - Accent6 10" xfId="1014" xr:uid="{00000000-0005-0000-0000-000048080000}"/>
    <cellStyle name="60% - Accent6 11" xfId="1015" xr:uid="{00000000-0005-0000-0000-000049080000}"/>
    <cellStyle name="60% - Accent6 12" xfId="1016" xr:uid="{00000000-0005-0000-0000-00004A080000}"/>
    <cellStyle name="60% - Accent6 13" xfId="1017" xr:uid="{00000000-0005-0000-0000-00004B080000}"/>
    <cellStyle name="60% - Accent6 14" xfId="1018" xr:uid="{00000000-0005-0000-0000-00004C080000}"/>
    <cellStyle name="60% - Accent6 15" xfId="1019" xr:uid="{00000000-0005-0000-0000-00004D080000}"/>
    <cellStyle name="60% - Accent6 16" xfId="1020" xr:uid="{00000000-0005-0000-0000-00004E080000}"/>
    <cellStyle name="60% - Accent6 17" xfId="1021" xr:uid="{00000000-0005-0000-0000-00004F080000}"/>
    <cellStyle name="60% - Accent6 18" xfId="1022" xr:uid="{00000000-0005-0000-0000-000050080000}"/>
    <cellStyle name="60% - Accent6 19" xfId="1023" xr:uid="{00000000-0005-0000-0000-000051080000}"/>
    <cellStyle name="60% - Accent6 2" xfId="1024" xr:uid="{00000000-0005-0000-0000-000052080000}"/>
    <cellStyle name="60% - Accent6 2 2" xfId="1025" xr:uid="{00000000-0005-0000-0000-000053080000}"/>
    <cellStyle name="60% - Accent6 2 3" xfId="1026" xr:uid="{00000000-0005-0000-0000-000054080000}"/>
    <cellStyle name="60% - Accent6 2 4" xfId="1027" xr:uid="{00000000-0005-0000-0000-000055080000}"/>
    <cellStyle name="60% - Accent6 2 5" xfId="1028" xr:uid="{00000000-0005-0000-0000-000056080000}"/>
    <cellStyle name="60% - Accent6 3" xfId="1029" xr:uid="{00000000-0005-0000-0000-000057080000}"/>
    <cellStyle name="60% - Accent6 4" xfId="1030" xr:uid="{00000000-0005-0000-0000-000058080000}"/>
    <cellStyle name="60% - Accent6 5" xfId="1031" xr:uid="{00000000-0005-0000-0000-000059080000}"/>
    <cellStyle name="60% - Accent6 6" xfId="1032" xr:uid="{00000000-0005-0000-0000-00005A080000}"/>
    <cellStyle name="60% - Accent6 7" xfId="1033" xr:uid="{00000000-0005-0000-0000-00005B080000}"/>
    <cellStyle name="60% - Accent6 8" xfId="1034" xr:uid="{00000000-0005-0000-0000-00005C080000}"/>
    <cellStyle name="60% - Accent6 9" xfId="1035" xr:uid="{00000000-0005-0000-0000-00005D080000}"/>
    <cellStyle name="Accent1" xfId="229" builtinId="29" customBuiltin="1"/>
    <cellStyle name="Accent1 10" xfId="1036" xr:uid="{00000000-0005-0000-0000-00005F080000}"/>
    <cellStyle name="Accent1 11" xfId="1037" xr:uid="{00000000-0005-0000-0000-000060080000}"/>
    <cellStyle name="Accent1 12" xfId="1038" xr:uid="{00000000-0005-0000-0000-000061080000}"/>
    <cellStyle name="Accent1 13" xfId="1039" xr:uid="{00000000-0005-0000-0000-000062080000}"/>
    <cellStyle name="Accent1 14" xfId="1040" xr:uid="{00000000-0005-0000-0000-000063080000}"/>
    <cellStyle name="Accent1 15" xfId="1041" xr:uid="{00000000-0005-0000-0000-000064080000}"/>
    <cellStyle name="Accent1 16" xfId="1042" xr:uid="{00000000-0005-0000-0000-000065080000}"/>
    <cellStyle name="Accent1 17" xfId="1043" xr:uid="{00000000-0005-0000-0000-000066080000}"/>
    <cellStyle name="Accent1 18" xfId="1044" xr:uid="{00000000-0005-0000-0000-000067080000}"/>
    <cellStyle name="Accent1 19" xfId="1045" xr:uid="{00000000-0005-0000-0000-000068080000}"/>
    <cellStyle name="Accent1 2" xfId="1046" xr:uid="{00000000-0005-0000-0000-000069080000}"/>
    <cellStyle name="Accent1 2 2" xfId="1047" xr:uid="{00000000-0005-0000-0000-00006A080000}"/>
    <cellStyle name="Accent1 2 3" xfId="1048" xr:uid="{00000000-0005-0000-0000-00006B080000}"/>
    <cellStyle name="Accent1 2 4" xfId="1049" xr:uid="{00000000-0005-0000-0000-00006C080000}"/>
    <cellStyle name="Accent1 2 5" xfId="1050" xr:uid="{00000000-0005-0000-0000-00006D080000}"/>
    <cellStyle name="Accent1 3" xfId="1051" xr:uid="{00000000-0005-0000-0000-00006E080000}"/>
    <cellStyle name="Accent1 4" xfId="1052" xr:uid="{00000000-0005-0000-0000-00006F080000}"/>
    <cellStyle name="Accent1 5" xfId="1053" xr:uid="{00000000-0005-0000-0000-000070080000}"/>
    <cellStyle name="Accent1 6" xfId="1054" xr:uid="{00000000-0005-0000-0000-000071080000}"/>
    <cellStyle name="Accent1 7" xfId="1055" xr:uid="{00000000-0005-0000-0000-000072080000}"/>
    <cellStyle name="Accent1 8" xfId="1056" xr:uid="{00000000-0005-0000-0000-000073080000}"/>
    <cellStyle name="Accent1 9" xfId="1057" xr:uid="{00000000-0005-0000-0000-000074080000}"/>
    <cellStyle name="Accent2" xfId="233" builtinId="33" customBuiltin="1"/>
    <cellStyle name="Accent2 10" xfId="1058" xr:uid="{00000000-0005-0000-0000-000076080000}"/>
    <cellStyle name="Accent2 11" xfId="1059" xr:uid="{00000000-0005-0000-0000-000077080000}"/>
    <cellStyle name="Accent2 12" xfId="1060" xr:uid="{00000000-0005-0000-0000-000078080000}"/>
    <cellStyle name="Accent2 13" xfId="1061" xr:uid="{00000000-0005-0000-0000-000079080000}"/>
    <cellStyle name="Accent2 14" xfId="1062" xr:uid="{00000000-0005-0000-0000-00007A080000}"/>
    <cellStyle name="Accent2 15" xfId="1063" xr:uid="{00000000-0005-0000-0000-00007B080000}"/>
    <cellStyle name="Accent2 16" xfId="1064" xr:uid="{00000000-0005-0000-0000-00007C080000}"/>
    <cellStyle name="Accent2 17" xfId="1065" xr:uid="{00000000-0005-0000-0000-00007D080000}"/>
    <cellStyle name="Accent2 18" xfId="1066" xr:uid="{00000000-0005-0000-0000-00007E080000}"/>
    <cellStyle name="Accent2 19" xfId="1067" xr:uid="{00000000-0005-0000-0000-00007F080000}"/>
    <cellStyle name="Accent2 2" xfId="1068" xr:uid="{00000000-0005-0000-0000-000080080000}"/>
    <cellStyle name="Accent2 2 2" xfId="1069" xr:uid="{00000000-0005-0000-0000-000081080000}"/>
    <cellStyle name="Accent2 2 3" xfId="1070" xr:uid="{00000000-0005-0000-0000-000082080000}"/>
    <cellStyle name="Accent2 2 4" xfId="1071" xr:uid="{00000000-0005-0000-0000-000083080000}"/>
    <cellStyle name="Accent2 2 5" xfId="1072" xr:uid="{00000000-0005-0000-0000-000084080000}"/>
    <cellStyle name="Accent2 3" xfId="1073" xr:uid="{00000000-0005-0000-0000-000085080000}"/>
    <cellStyle name="Accent2 4" xfId="1074" xr:uid="{00000000-0005-0000-0000-000086080000}"/>
    <cellStyle name="Accent2 5" xfId="1075" xr:uid="{00000000-0005-0000-0000-000087080000}"/>
    <cellStyle name="Accent2 6" xfId="1076" xr:uid="{00000000-0005-0000-0000-000088080000}"/>
    <cellStyle name="Accent2 7" xfId="1077" xr:uid="{00000000-0005-0000-0000-000089080000}"/>
    <cellStyle name="Accent2 8" xfId="1078" xr:uid="{00000000-0005-0000-0000-00008A080000}"/>
    <cellStyle name="Accent2 9" xfId="1079" xr:uid="{00000000-0005-0000-0000-00008B080000}"/>
    <cellStyle name="Accent3" xfId="237" builtinId="37" customBuiltin="1"/>
    <cellStyle name="Accent3 10" xfId="1080" xr:uid="{00000000-0005-0000-0000-00008D080000}"/>
    <cellStyle name="Accent3 11" xfId="1081" xr:uid="{00000000-0005-0000-0000-00008E080000}"/>
    <cellStyle name="Accent3 12" xfId="1082" xr:uid="{00000000-0005-0000-0000-00008F080000}"/>
    <cellStyle name="Accent3 13" xfId="1083" xr:uid="{00000000-0005-0000-0000-000090080000}"/>
    <cellStyle name="Accent3 14" xfId="1084" xr:uid="{00000000-0005-0000-0000-000091080000}"/>
    <cellStyle name="Accent3 15" xfId="1085" xr:uid="{00000000-0005-0000-0000-000092080000}"/>
    <cellStyle name="Accent3 16" xfId="1086" xr:uid="{00000000-0005-0000-0000-000093080000}"/>
    <cellStyle name="Accent3 17" xfId="1087" xr:uid="{00000000-0005-0000-0000-000094080000}"/>
    <cellStyle name="Accent3 18" xfId="1088" xr:uid="{00000000-0005-0000-0000-000095080000}"/>
    <cellStyle name="Accent3 19" xfId="1089" xr:uid="{00000000-0005-0000-0000-000096080000}"/>
    <cellStyle name="Accent3 2" xfId="1090" xr:uid="{00000000-0005-0000-0000-000097080000}"/>
    <cellStyle name="Accent3 2 2" xfId="1091" xr:uid="{00000000-0005-0000-0000-000098080000}"/>
    <cellStyle name="Accent3 2 3" xfId="1092" xr:uid="{00000000-0005-0000-0000-000099080000}"/>
    <cellStyle name="Accent3 2 4" xfId="1093" xr:uid="{00000000-0005-0000-0000-00009A080000}"/>
    <cellStyle name="Accent3 2 5" xfId="1094" xr:uid="{00000000-0005-0000-0000-00009B080000}"/>
    <cellStyle name="Accent3 3" xfId="1095" xr:uid="{00000000-0005-0000-0000-00009C080000}"/>
    <cellStyle name="Accent3 4" xfId="1096" xr:uid="{00000000-0005-0000-0000-00009D080000}"/>
    <cellStyle name="Accent3 5" xfId="1097" xr:uid="{00000000-0005-0000-0000-00009E080000}"/>
    <cellStyle name="Accent3 6" xfId="1098" xr:uid="{00000000-0005-0000-0000-00009F080000}"/>
    <cellStyle name="Accent3 7" xfId="1099" xr:uid="{00000000-0005-0000-0000-0000A0080000}"/>
    <cellStyle name="Accent3 8" xfId="1100" xr:uid="{00000000-0005-0000-0000-0000A1080000}"/>
    <cellStyle name="Accent3 9" xfId="1101" xr:uid="{00000000-0005-0000-0000-0000A2080000}"/>
    <cellStyle name="Accent4" xfId="241" builtinId="41" customBuiltin="1"/>
    <cellStyle name="Accent4 10" xfId="1102" xr:uid="{00000000-0005-0000-0000-0000A4080000}"/>
    <cellStyle name="Accent4 11" xfId="1103" xr:uid="{00000000-0005-0000-0000-0000A5080000}"/>
    <cellStyle name="Accent4 12" xfId="1104" xr:uid="{00000000-0005-0000-0000-0000A6080000}"/>
    <cellStyle name="Accent4 13" xfId="1105" xr:uid="{00000000-0005-0000-0000-0000A7080000}"/>
    <cellStyle name="Accent4 14" xfId="1106" xr:uid="{00000000-0005-0000-0000-0000A8080000}"/>
    <cellStyle name="Accent4 15" xfId="1107" xr:uid="{00000000-0005-0000-0000-0000A9080000}"/>
    <cellStyle name="Accent4 16" xfId="1108" xr:uid="{00000000-0005-0000-0000-0000AA080000}"/>
    <cellStyle name="Accent4 17" xfId="1109" xr:uid="{00000000-0005-0000-0000-0000AB080000}"/>
    <cellStyle name="Accent4 18" xfId="1110" xr:uid="{00000000-0005-0000-0000-0000AC080000}"/>
    <cellStyle name="Accent4 19" xfId="1111" xr:uid="{00000000-0005-0000-0000-0000AD080000}"/>
    <cellStyle name="Accent4 2" xfId="1112" xr:uid="{00000000-0005-0000-0000-0000AE080000}"/>
    <cellStyle name="Accent4 2 2" xfId="1113" xr:uid="{00000000-0005-0000-0000-0000AF080000}"/>
    <cellStyle name="Accent4 2 3" xfId="1114" xr:uid="{00000000-0005-0000-0000-0000B0080000}"/>
    <cellStyle name="Accent4 2 4" xfId="1115" xr:uid="{00000000-0005-0000-0000-0000B1080000}"/>
    <cellStyle name="Accent4 2 5" xfId="1116" xr:uid="{00000000-0005-0000-0000-0000B2080000}"/>
    <cellStyle name="Accent4 3" xfId="1117" xr:uid="{00000000-0005-0000-0000-0000B3080000}"/>
    <cellStyle name="Accent4 4" xfId="1118" xr:uid="{00000000-0005-0000-0000-0000B4080000}"/>
    <cellStyle name="Accent4 5" xfId="1119" xr:uid="{00000000-0005-0000-0000-0000B5080000}"/>
    <cellStyle name="Accent4 6" xfId="1120" xr:uid="{00000000-0005-0000-0000-0000B6080000}"/>
    <cellStyle name="Accent4 7" xfId="1121" xr:uid="{00000000-0005-0000-0000-0000B7080000}"/>
    <cellStyle name="Accent4 8" xfId="1122" xr:uid="{00000000-0005-0000-0000-0000B8080000}"/>
    <cellStyle name="Accent4 9" xfId="1123" xr:uid="{00000000-0005-0000-0000-0000B9080000}"/>
    <cellStyle name="Accent5" xfId="245" builtinId="45" customBuiltin="1"/>
    <cellStyle name="Accent5 10" xfId="1124" xr:uid="{00000000-0005-0000-0000-0000BB080000}"/>
    <cellStyle name="Accent5 11" xfId="1125" xr:uid="{00000000-0005-0000-0000-0000BC080000}"/>
    <cellStyle name="Accent5 12" xfId="1126" xr:uid="{00000000-0005-0000-0000-0000BD080000}"/>
    <cellStyle name="Accent5 13" xfId="1127" xr:uid="{00000000-0005-0000-0000-0000BE080000}"/>
    <cellStyle name="Accent5 14" xfId="1128" xr:uid="{00000000-0005-0000-0000-0000BF080000}"/>
    <cellStyle name="Accent5 15" xfId="1129" xr:uid="{00000000-0005-0000-0000-0000C0080000}"/>
    <cellStyle name="Accent5 16" xfId="1130" xr:uid="{00000000-0005-0000-0000-0000C1080000}"/>
    <cellStyle name="Accent5 17" xfId="1131" xr:uid="{00000000-0005-0000-0000-0000C2080000}"/>
    <cellStyle name="Accent5 18" xfId="1132" xr:uid="{00000000-0005-0000-0000-0000C3080000}"/>
    <cellStyle name="Accent5 19" xfId="1133" xr:uid="{00000000-0005-0000-0000-0000C4080000}"/>
    <cellStyle name="Accent5 2" xfId="1134" xr:uid="{00000000-0005-0000-0000-0000C5080000}"/>
    <cellStyle name="Accent5 2 2" xfId="1135" xr:uid="{00000000-0005-0000-0000-0000C6080000}"/>
    <cellStyle name="Accent5 2 3" xfId="1136" xr:uid="{00000000-0005-0000-0000-0000C7080000}"/>
    <cellStyle name="Accent5 2 4" xfId="1137" xr:uid="{00000000-0005-0000-0000-0000C8080000}"/>
    <cellStyle name="Accent5 2 5" xfId="1138" xr:uid="{00000000-0005-0000-0000-0000C9080000}"/>
    <cellStyle name="Accent5 3" xfId="1139" xr:uid="{00000000-0005-0000-0000-0000CA080000}"/>
    <cellStyle name="Accent5 4" xfId="1140" xr:uid="{00000000-0005-0000-0000-0000CB080000}"/>
    <cellStyle name="Accent5 5" xfId="1141" xr:uid="{00000000-0005-0000-0000-0000CC080000}"/>
    <cellStyle name="Accent5 6" xfId="1142" xr:uid="{00000000-0005-0000-0000-0000CD080000}"/>
    <cellStyle name="Accent5 7" xfId="1143" xr:uid="{00000000-0005-0000-0000-0000CE080000}"/>
    <cellStyle name="Accent5 8" xfId="1144" xr:uid="{00000000-0005-0000-0000-0000CF080000}"/>
    <cellStyle name="Accent5 9" xfId="1145" xr:uid="{00000000-0005-0000-0000-0000D0080000}"/>
    <cellStyle name="Accent6" xfId="249" builtinId="49" customBuiltin="1"/>
    <cellStyle name="Accent6 10" xfId="1146" xr:uid="{00000000-0005-0000-0000-0000D2080000}"/>
    <cellStyle name="Accent6 11" xfId="1147" xr:uid="{00000000-0005-0000-0000-0000D3080000}"/>
    <cellStyle name="Accent6 12" xfId="1148" xr:uid="{00000000-0005-0000-0000-0000D4080000}"/>
    <cellStyle name="Accent6 13" xfId="1149" xr:uid="{00000000-0005-0000-0000-0000D5080000}"/>
    <cellStyle name="Accent6 14" xfId="1150" xr:uid="{00000000-0005-0000-0000-0000D6080000}"/>
    <cellStyle name="Accent6 15" xfId="1151" xr:uid="{00000000-0005-0000-0000-0000D7080000}"/>
    <cellStyle name="Accent6 16" xfId="1152" xr:uid="{00000000-0005-0000-0000-0000D8080000}"/>
    <cellStyle name="Accent6 17" xfId="1153" xr:uid="{00000000-0005-0000-0000-0000D9080000}"/>
    <cellStyle name="Accent6 18" xfId="1154" xr:uid="{00000000-0005-0000-0000-0000DA080000}"/>
    <cellStyle name="Accent6 19" xfId="1155" xr:uid="{00000000-0005-0000-0000-0000DB080000}"/>
    <cellStyle name="Accent6 2" xfId="1156" xr:uid="{00000000-0005-0000-0000-0000DC080000}"/>
    <cellStyle name="Accent6 2 2" xfId="1157" xr:uid="{00000000-0005-0000-0000-0000DD080000}"/>
    <cellStyle name="Accent6 2 3" xfId="1158" xr:uid="{00000000-0005-0000-0000-0000DE080000}"/>
    <cellStyle name="Accent6 2 4" xfId="1159" xr:uid="{00000000-0005-0000-0000-0000DF080000}"/>
    <cellStyle name="Accent6 2 5" xfId="1160" xr:uid="{00000000-0005-0000-0000-0000E0080000}"/>
    <cellStyle name="Accent6 3" xfId="1161" xr:uid="{00000000-0005-0000-0000-0000E1080000}"/>
    <cellStyle name="Accent6 4" xfId="1162" xr:uid="{00000000-0005-0000-0000-0000E2080000}"/>
    <cellStyle name="Accent6 5" xfId="1163" xr:uid="{00000000-0005-0000-0000-0000E3080000}"/>
    <cellStyle name="Accent6 6" xfId="1164" xr:uid="{00000000-0005-0000-0000-0000E4080000}"/>
    <cellStyle name="Accent6 7" xfId="1165" xr:uid="{00000000-0005-0000-0000-0000E5080000}"/>
    <cellStyle name="Accent6 8" xfId="1166" xr:uid="{00000000-0005-0000-0000-0000E6080000}"/>
    <cellStyle name="Accent6 9" xfId="1167" xr:uid="{00000000-0005-0000-0000-0000E7080000}"/>
    <cellStyle name="Bad" xfId="219" builtinId="27" customBuiltin="1"/>
    <cellStyle name="Bad 10" xfId="1168" xr:uid="{00000000-0005-0000-0000-0000E9080000}"/>
    <cellStyle name="Bad 11" xfId="1169" xr:uid="{00000000-0005-0000-0000-0000EA080000}"/>
    <cellStyle name="Bad 12" xfId="1170" xr:uid="{00000000-0005-0000-0000-0000EB080000}"/>
    <cellStyle name="Bad 13" xfId="1171" xr:uid="{00000000-0005-0000-0000-0000EC080000}"/>
    <cellStyle name="Bad 14" xfId="1172" xr:uid="{00000000-0005-0000-0000-0000ED080000}"/>
    <cellStyle name="Bad 15" xfId="1173" xr:uid="{00000000-0005-0000-0000-0000EE080000}"/>
    <cellStyle name="Bad 16" xfId="1174" xr:uid="{00000000-0005-0000-0000-0000EF080000}"/>
    <cellStyle name="Bad 17" xfId="1175" xr:uid="{00000000-0005-0000-0000-0000F0080000}"/>
    <cellStyle name="Bad 18" xfId="1176" xr:uid="{00000000-0005-0000-0000-0000F1080000}"/>
    <cellStyle name="Bad 19" xfId="1177" xr:uid="{00000000-0005-0000-0000-0000F2080000}"/>
    <cellStyle name="Bad 2" xfId="1178" xr:uid="{00000000-0005-0000-0000-0000F3080000}"/>
    <cellStyle name="Bad 2 2" xfId="1179" xr:uid="{00000000-0005-0000-0000-0000F4080000}"/>
    <cellStyle name="Bad 2 3" xfId="1180" xr:uid="{00000000-0005-0000-0000-0000F5080000}"/>
    <cellStyle name="Bad 2 4" xfId="1181" xr:uid="{00000000-0005-0000-0000-0000F6080000}"/>
    <cellStyle name="Bad 2 5" xfId="1182" xr:uid="{00000000-0005-0000-0000-0000F7080000}"/>
    <cellStyle name="Bad 3" xfId="1183" xr:uid="{00000000-0005-0000-0000-0000F8080000}"/>
    <cellStyle name="Bad 4" xfId="1184" xr:uid="{00000000-0005-0000-0000-0000F9080000}"/>
    <cellStyle name="Bad 5" xfId="1185" xr:uid="{00000000-0005-0000-0000-0000FA080000}"/>
    <cellStyle name="Bad 6" xfId="1186" xr:uid="{00000000-0005-0000-0000-0000FB080000}"/>
    <cellStyle name="Bad 7" xfId="1187" xr:uid="{00000000-0005-0000-0000-0000FC080000}"/>
    <cellStyle name="Bad 8" xfId="1188" xr:uid="{00000000-0005-0000-0000-0000FD080000}"/>
    <cellStyle name="Bad 9" xfId="1189" xr:uid="{00000000-0005-0000-0000-0000FE080000}"/>
    <cellStyle name="Calculation" xfId="223" builtinId="22" customBuiltin="1"/>
    <cellStyle name="Calculation 10" xfId="1190" xr:uid="{00000000-0005-0000-0000-000000090000}"/>
    <cellStyle name="Calculation 11" xfId="1191" xr:uid="{00000000-0005-0000-0000-000001090000}"/>
    <cellStyle name="Calculation 12" xfId="1192" xr:uid="{00000000-0005-0000-0000-000002090000}"/>
    <cellStyle name="Calculation 13" xfId="1193" xr:uid="{00000000-0005-0000-0000-000003090000}"/>
    <cellStyle name="Calculation 14" xfId="1194" xr:uid="{00000000-0005-0000-0000-000004090000}"/>
    <cellStyle name="Calculation 15" xfId="1195" xr:uid="{00000000-0005-0000-0000-000005090000}"/>
    <cellStyle name="Calculation 16" xfId="1196" xr:uid="{00000000-0005-0000-0000-000006090000}"/>
    <cellStyle name="Calculation 17" xfId="1197" xr:uid="{00000000-0005-0000-0000-000007090000}"/>
    <cellStyle name="Calculation 18" xfId="1198" xr:uid="{00000000-0005-0000-0000-000008090000}"/>
    <cellStyle name="Calculation 19" xfId="1199" xr:uid="{00000000-0005-0000-0000-000009090000}"/>
    <cellStyle name="Calculation 2" xfId="1200" xr:uid="{00000000-0005-0000-0000-00000A090000}"/>
    <cellStyle name="Calculation 2 2" xfId="1201" xr:uid="{00000000-0005-0000-0000-00000B090000}"/>
    <cellStyle name="Calculation 2 3" xfId="1202" xr:uid="{00000000-0005-0000-0000-00000C090000}"/>
    <cellStyle name="Calculation 2 4" xfId="1203" xr:uid="{00000000-0005-0000-0000-00000D090000}"/>
    <cellStyle name="Calculation 2 5" xfId="1204" xr:uid="{00000000-0005-0000-0000-00000E090000}"/>
    <cellStyle name="Calculation 3" xfId="1205" xr:uid="{00000000-0005-0000-0000-00000F090000}"/>
    <cellStyle name="Calculation 4" xfId="1206" xr:uid="{00000000-0005-0000-0000-000010090000}"/>
    <cellStyle name="Calculation 5" xfId="1207" xr:uid="{00000000-0005-0000-0000-000011090000}"/>
    <cellStyle name="Calculation 6" xfId="1208" xr:uid="{00000000-0005-0000-0000-000012090000}"/>
    <cellStyle name="Calculation 7" xfId="1209" xr:uid="{00000000-0005-0000-0000-000013090000}"/>
    <cellStyle name="Calculation 8" xfId="1210" xr:uid="{00000000-0005-0000-0000-000014090000}"/>
    <cellStyle name="Calculation 9" xfId="1211" xr:uid="{00000000-0005-0000-0000-000015090000}"/>
    <cellStyle name="Centered Heading" xfId="1212" xr:uid="{00000000-0005-0000-0000-000016090000}"/>
    <cellStyle name="Check Cell" xfId="225" builtinId="23" customBuiltin="1"/>
    <cellStyle name="Check Cell 10" xfId="1213" xr:uid="{00000000-0005-0000-0000-000018090000}"/>
    <cellStyle name="Check Cell 11" xfId="1214" xr:uid="{00000000-0005-0000-0000-000019090000}"/>
    <cellStyle name="Check Cell 12" xfId="1215" xr:uid="{00000000-0005-0000-0000-00001A090000}"/>
    <cellStyle name="Check Cell 13" xfId="1216" xr:uid="{00000000-0005-0000-0000-00001B090000}"/>
    <cellStyle name="Check Cell 14" xfId="1217" xr:uid="{00000000-0005-0000-0000-00001C090000}"/>
    <cellStyle name="Check Cell 15" xfId="1218" xr:uid="{00000000-0005-0000-0000-00001D090000}"/>
    <cellStyle name="Check Cell 16" xfId="1219" xr:uid="{00000000-0005-0000-0000-00001E090000}"/>
    <cellStyle name="Check Cell 17" xfId="1220" xr:uid="{00000000-0005-0000-0000-00001F090000}"/>
    <cellStyle name="Check Cell 18" xfId="1221" xr:uid="{00000000-0005-0000-0000-000020090000}"/>
    <cellStyle name="Check Cell 19" xfId="1222" xr:uid="{00000000-0005-0000-0000-000021090000}"/>
    <cellStyle name="Check Cell 2" xfId="1223" xr:uid="{00000000-0005-0000-0000-000022090000}"/>
    <cellStyle name="Check Cell 2 2" xfId="1224" xr:uid="{00000000-0005-0000-0000-000023090000}"/>
    <cellStyle name="Check Cell 2 3" xfId="1225" xr:uid="{00000000-0005-0000-0000-000024090000}"/>
    <cellStyle name="Check Cell 2 4" xfId="1226" xr:uid="{00000000-0005-0000-0000-000025090000}"/>
    <cellStyle name="Check Cell 2 5" xfId="1227" xr:uid="{00000000-0005-0000-0000-000026090000}"/>
    <cellStyle name="Check Cell 3" xfId="1228" xr:uid="{00000000-0005-0000-0000-000027090000}"/>
    <cellStyle name="Check Cell 4" xfId="1229" xr:uid="{00000000-0005-0000-0000-000028090000}"/>
    <cellStyle name="Check Cell 5" xfId="1230" xr:uid="{00000000-0005-0000-0000-000029090000}"/>
    <cellStyle name="Check Cell 6" xfId="1231" xr:uid="{00000000-0005-0000-0000-00002A090000}"/>
    <cellStyle name="Check Cell 7" xfId="1232" xr:uid="{00000000-0005-0000-0000-00002B090000}"/>
    <cellStyle name="Check Cell 8" xfId="1233" xr:uid="{00000000-0005-0000-0000-00002C090000}"/>
    <cellStyle name="Check Cell 9" xfId="1234" xr:uid="{00000000-0005-0000-0000-00002D090000}"/>
    <cellStyle name="Comma" xfId="2" builtinId="3"/>
    <cellStyle name="Comma 10" xfId="1236" xr:uid="{00000000-0005-0000-0000-00002F090000}"/>
    <cellStyle name="Comma 10 2" xfId="1237" xr:uid="{00000000-0005-0000-0000-000030090000}"/>
    <cellStyle name="Comma 10 2 2" xfId="1238" xr:uid="{00000000-0005-0000-0000-000031090000}"/>
    <cellStyle name="Comma 10 2 3" xfId="2300" xr:uid="{00000000-0005-0000-0000-000032090000}"/>
    <cellStyle name="Comma 10 2 3 2" xfId="3011" xr:uid="{00000000-0005-0000-0000-000033090000}"/>
    <cellStyle name="Comma 10 2 3 2 2" xfId="4886" xr:uid="{00000000-0005-0000-0000-000034090000}"/>
    <cellStyle name="Comma 10 2 3 3" xfId="4199" xr:uid="{00000000-0005-0000-0000-000035090000}"/>
    <cellStyle name="Comma 10 3" xfId="1239" xr:uid="{00000000-0005-0000-0000-000036090000}"/>
    <cellStyle name="Comma 10 4" xfId="2266" xr:uid="{00000000-0005-0000-0000-000037090000}"/>
    <cellStyle name="Comma 10 4 2" xfId="2979" xr:uid="{00000000-0005-0000-0000-000038090000}"/>
    <cellStyle name="Comma 10 4 2 2" xfId="4854" xr:uid="{00000000-0005-0000-0000-000039090000}"/>
    <cellStyle name="Comma 10 4 3" xfId="4167" xr:uid="{00000000-0005-0000-0000-00003A090000}"/>
    <cellStyle name="Comma 11" xfId="1240" xr:uid="{00000000-0005-0000-0000-00003B090000}"/>
    <cellStyle name="Comma 11 2" xfId="1241" xr:uid="{00000000-0005-0000-0000-00003C090000}"/>
    <cellStyle name="Comma 11 2 2" xfId="1242" xr:uid="{00000000-0005-0000-0000-00003D090000}"/>
    <cellStyle name="Comma 11 2 3" xfId="2301" xr:uid="{00000000-0005-0000-0000-00003E090000}"/>
    <cellStyle name="Comma 11 2 3 2" xfId="3012" xr:uid="{00000000-0005-0000-0000-00003F090000}"/>
    <cellStyle name="Comma 11 2 3 2 2" xfId="4887" xr:uid="{00000000-0005-0000-0000-000040090000}"/>
    <cellStyle name="Comma 11 2 3 3" xfId="4200" xr:uid="{00000000-0005-0000-0000-000041090000}"/>
    <cellStyle name="Comma 11 3" xfId="1243" xr:uid="{00000000-0005-0000-0000-000042090000}"/>
    <cellStyle name="Comma 11 4" xfId="2267" xr:uid="{00000000-0005-0000-0000-000043090000}"/>
    <cellStyle name="Comma 11 4 2" xfId="2980" xr:uid="{00000000-0005-0000-0000-000044090000}"/>
    <cellStyle name="Comma 11 4 2 2" xfId="4855" xr:uid="{00000000-0005-0000-0000-000045090000}"/>
    <cellStyle name="Comma 11 4 3" xfId="4168" xr:uid="{00000000-0005-0000-0000-000046090000}"/>
    <cellStyle name="Comma 12" xfId="1244" xr:uid="{00000000-0005-0000-0000-000047090000}"/>
    <cellStyle name="Comma 12 2" xfId="1245" xr:uid="{00000000-0005-0000-0000-000048090000}"/>
    <cellStyle name="Comma 12 2 2" xfId="1246" xr:uid="{00000000-0005-0000-0000-000049090000}"/>
    <cellStyle name="Comma 12 2 3" xfId="2302" xr:uid="{00000000-0005-0000-0000-00004A090000}"/>
    <cellStyle name="Comma 12 2 3 2" xfId="3013" xr:uid="{00000000-0005-0000-0000-00004B090000}"/>
    <cellStyle name="Comma 12 2 3 2 2" xfId="4888" xr:uid="{00000000-0005-0000-0000-00004C090000}"/>
    <cellStyle name="Comma 12 2 3 3" xfId="4201" xr:uid="{00000000-0005-0000-0000-00004D090000}"/>
    <cellStyle name="Comma 12 3" xfId="1247" xr:uid="{00000000-0005-0000-0000-00004E090000}"/>
    <cellStyle name="Comma 12 4" xfId="2268" xr:uid="{00000000-0005-0000-0000-00004F090000}"/>
    <cellStyle name="Comma 12 4 2" xfId="2981" xr:uid="{00000000-0005-0000-0000-000050090000}"/>
    <cellStyle name="Comma 12 4 2 2" xfId="4856" xr:uid="{00000000-0005-0000-0000-000051090000}"/>
    <cellStyle name="Comma 12 4 3" xfId="4169" xr:uid="{00000000-0005-0000-0000-000052090000}"/>
    <cellStyle name="Comma 13" xfId="1248" xr:uid="{00000000-0005-0000-0000-000053090000}"/>
    <cellStyle name="Comma 13 2" xfId="1249" xr:uid="{00000000-0005-0000-0000-000054090000}"/>
    <cellStyle name="Comma 13 2 2" xfId="1250" xr:uid="{00000000-0005-0000-0000-000055090000}"/>
    <cellStyle name="Comma 13 2 3" xfId="2303" xr:uid="{00000000-0005-0000-0000-000056090000}"/>
    <cellStyle name="Comma 13 2 3 2" xfId="3014" xr:uid="{00000000-0005-0000-0000-000057090000}"/>
    <cellStyle name="Comma 13 2 3 2 2" xfId="4889" xr:uid="{00000000-0005-0000-0000-000058090000}"/>
    <cellStyle name="Comma 13 2 3 3" xfId="4202" xr:uid="{00000000-0005-0000-0000-000059090000}"/>
    <cellStyle name="Comma 13 3" xfId="1251" xr:uid="{00000000-0005-0000-0000-00005A090000}"/>
    <cellStyle name="Comma 13 4" xfId="2269" xr:uid="{00000000-0005-0000-0000-00005B090000}"/>
    <cellStyle name="Comma 13 4 2" xfId="2982" xr:uid="{00000000-0005-0000-0000-00005C090000}"/>
    <cellStyle name="Comma 13 4 2 2" xfId="4857" xr:uid="{00000000-0005-0000-0000-00005D090000}"/>
    <cellStyle name="Comma 13 4 3" xfId="4170" xr:uid="{00000000-0005-0000-0000-00005E090000}"/>
    <cellStyle name="Comma 14" xfId="1252" xr:uid="{00000000-0005-0000-0000-00005F090000}"/>
    <cellStyle name="Comma 14 2" xfId="1253" xr:uid="{00000000-0005-0000-0000-000060090000}"/>
    <cellStyle name="Comma 14 2 2" xfId="1254" xr:uid="{00000000-0005-0000-0000-000061090000}"/>
    <cellStyle name="Comma 14 2 3" xfId="2296" xr:uid="{00000000-0005-0000-0000-000062090000}"/>
    <cellStyle name="Comma 14 2 3 2" xfId="3007" xr:uid="{00000000-0005-0000-0000-000063090000}"/>
    <cellStyle name="Comma 14 2 3 2 2" xfId="4882" xr:uid="{00000000-0005-0000-0000-000064090000}"/>
    <cellStyle name="Comma 14 2 3 3" xfId="4195" xr:uid="{00000000-0005-0000-0000-000065090000}"/>
    <cellStyle name="Comma 14 3" xfId="1255" xr:uid="{00000000-0005-0000-0000-000066090000}"/>
    <cellStyle name="Comma 14 4" xfId="2261" xr:uid="{00000000-0005-0000-0000-000067090000}"/>
    <cellStyle name="Comma 14 4 2" xfId="2975" xr:uid="{00000000-0005-0000-0000-000068090000}"/>
    <cellStyle name="Comma 14 4 2 2" xfId="4850" xr:uid="{00000000-0005-0000-0000-000069090000}"/>
    <cellStyle name="Comma 14 4 3" xfId="4163" xr:uid="{00000000-0005-0000-0000-00006A090000}"/>
    <cellStyle name="Comma 15" xfId="1256" xr:uid="{00000000-0005-0000-0000-00006B090000}"/>
    <cellStyle name="Comma 15 2" xfId="1257" xr:uid="{00000000-0005-0000-0000-00006C090000}"/>
    <cellStyle name="Comma 16" xfId="1258" xr:uid="{00000000-0005-0000-0000-00006D090000}"/>
    <cellStyle name="Comma 16 2" xfId="2275" xr:uid="{00000000-0005-0000-0000-00006E090000}"/>
    <cellStyle name="Comma 16 3" xfId="2198" xr:uid="{00000000-0005-0000-0000-00006F090000}"/>
    <cellStyle name="Comma 16 3 2" xfId="2912" xr:uid="{00000000-0005-0000-0000-000070090000}"/>
    <cellStyle name="Comma 16 3 2 2" xfId="4787" xr:uid="{00000000-0005-0000-0000-000071090000}"/>
    <cellStyle name="Comma 16 3 3" xfId="4100" xr:uid="{00000000-0005-0000-0000-000072090000}"/>
    <cellStyle name="Comma 17" xfId="1259" xr:uid="{00000000-0005-0000-0000-000073090000}"/>
    <cellStyle name="Comma 17 2" xfId="1260" xr:uid="{00000000-0005-0000-0000-000074090000}"/>
    <cellStyle name="Comma 17 2 2" xfId="1261" xr:uid="{00000000-0005-0000-0000-000075090000}"/>
    <cellStyle name="Comma 18" xfId="1262" xr:uid="{00000000-0005-0000-0000-000076090000}"/>
    <cellStyle name="Comma 18 2" xfId="1263" xr:uid="{00000000-0005-0000-0000-000077090000}"/>
    <cellStyle name="Comma 18 2 2" xfId="1264" xr:uid="{00000000-0005-0000-0000-000078090000}"/>
    <cellStyle name="Comma 18 2 3" xfId="2308" xr:uid="{00000000-0005-0000-0000-000079090000}"/>
    <cellStyle name="Comma 18 2 3 2" xfId="3019" xr:uid="{00000000-0005-0000-0000-00007A090000}"/>
    <cellStyle name="Comma 18 2 3 2 2" xfId="4894" xr:uid="{00000000-0005-0000-0000-00007B090000}"/>
    <cellStyle name="Comma 18 2 3 3" xfId="4207" xr:uid="{00000000-0005-0000-0000-00007C090000}"/>
    <cellStyle name="Comma 18 3" xfId="1265" xr:uid="{00000000-0005-0000-0000-00007D090000}"/>
    <cellStyle name="Comma 18 4" xfId="2277" xr:uid="{00000000-0005-0000-0000-00007E090000}"/>
    <cellStyle name="Comma 18 4 2" xfId="2988" xr:uid="{00000000-0005-0000-0000-00007F090000}"/>
    <cellStyle name="Comma 18 4 2 2" xfId="4863" xr:uid="{00000000-0005-0000-0000-000080090000}"/>
    <cellStyle name="Comma 18 4 3" xfId="4176" xr:uid="{00000000-0005-0000-0000-000081090000}"/>
    <cellStyle name="Comma 19" xfId="1266" xr:uid="{00000000-0005-0000-0000-000082090000}"/>
    <cellStyle name="Comma 2" xfId="1" xr:uid="{00000000-0005-0000-0000-000083090000}"/>
    <cellStyle name="Comma 2 10" xfId="1267" xr:uid="{00000000-0005-0000-0000-000084090000}"/>
    <cellStyle name="Comma 2 10 2" xfId="1268" xr:uid="{00000000-0005-0000-0000-000085090000}"/>
    <cellStyle name="Comma 2 11" xfId="1269" xr:uid="{00000000-0005-0000-0000-000086090000}"/>
    <cellStyle name="Comma 2 11 2" xfId="1270" xr:uid="{00000000-0005-0000-0000-000087090000}"/>
    <cellStyle name="Comma 2 12" xfId="1271" xr:uid="{00000000-0005-0000-0000-000088090000}"/>
    <cellStyle name="Comma 2 12 2" xfId="1272" xr:uid="{00000000-0005-0000-0000-000089090000}"/>
    <cellStyle name="Comma 2 13" xfId="1273" xr:uid="{00000000-0005-0000-0000-00008A090000}"/>
    <cellStyle name="Comma 2 13 2" xfId="1274" xr:uid="{00000000-0005-0000-0000-00008B090000}"/>
    <cellStyle name="Comma 2 14" xfId="1275" xr:uid="{00000000-0005-0000-0000-00008C090000}"/>
    <cellStyle name="Comma 2 14 2" xfId="1276" xr:uid="{00000000-0005-0000-0000-00008D090000}"/>
    <cellStyle name="Comma 2 15" xfId="1277" xr:uid="{00000000-0005-0000-0000-00008E090000}"/>
    <cellStyle name="Comma 2 15 2" xfId="1278" xr:uid="{00000000-0005-0000-0000-00008F090000}"/>
    <cellStyle name="Comma 2 16" xfId="1279" xr:uid="{00000000-0005-0000-0000-000090090000}"/>
    <cellStyle name="Comma 2 16 2" xfId="1280" xr:uid="{00000000-0005-0000-0000-000091090000}"/>
    <cellStyle name="Comma 2 17" xfId="1281" xr:uid="{00000000-0005-0000-0000-000092090000}"/>
    <cellStyle name="Comma 2 18" xfId="1282" xr:uid="{00000000-0005-0000-0000-000093090000}"/>
    <cellStyle name="Comma 2 19" xfId="1283" xr:uid="{00000000-0005-0000-0000-000094090000}"/>
    <cellStyle name="Comma 2 2" xfId="1284" xr:uid="{00000000-0005-0000-0000-000095090000}"/>
    <cellStyle name="Comma 2 2 2" xfId="1285" xr:uid="{00000000-0005-0000-0000-000096090000}"/>
    <cellStyle name="Comma 2 2 2 2" xfId="1286" xr:uid="{00000000-0005-0000-0000-000097090000}"/>
    <cellStyle name="Comma 2 2 3" xfId="1287" xr:uid="{00000000-0005-0000-0000-000098090000}"/>
    <cellStyle name="Comma 2 2 3 2" xfId="1288" xr:uid="{00000000-0005-0000-0000-000099090000}"/>
    <cellStyle name="Comma 2 2 4" xfId="1289" xr:uid="{00000000-0005-0000-0000-00009A090000}"/>
    <cellStyle name="Comma 2 2 4 2" xfId="1290" xr:uid="{00000000-0005-0000-0000-00009B090000}"/>
    <cellStyle name="Comma 2 2 5" xfId="1291" xr:uid="{00000000-0005-0000-0000-00009C090000}"/>
    <cellStyle name="Comma 2 2 5 2" xfId="1292" xr:uid="{00000000-0005-0000-0000-00009D090000}"/>
    <cellStyle name="Comma 2 2 6" xfId="1293" xr:uid="{00000000-0005-0000-0000-00009E090000}"/>
    <cellStyle name="Comma 2 2 7" xfId="1294" xr:uid="{00000000-0005-0000-0000-00009F090000}"/>
    <cellStyle name="Comma 2 20" xfId="1295" xr:uid="{00000000-0005-0000-0000-0000A0090000}"/>
    <cellStyle name="Comma 2 21" xfId="1296" xr:uid="{00000000-0005-0000-0000-0000A1090000}"/>
    <cellStyle name="Comma 2 22" xfId="1297" xr:uid="{00000000-0005-0000-0000-0000A2090000}"/>
    <cellStyle name="Comma 2 23" xfId="1298" xr:uid="{00000000-0005-0000-0000-0000A3090000}"/>
    <cellStyle name="Comma 2 24" xfId="1299" xr:uid="{00000000-0005-0000-0000-0000A4090000}"/>
    <cellStyle name="Comma 2 25" xfId="2189" xr:uid="{00000000-0005-0000-0000-0000A5090000}"/>
    <cellStyle name="Comma 2 26" xfId="2187" xr:uid="{00000000-0005-0000-0000-0000A6090000}"/>
    <cellStyle name="Comma 2 3" xfId="1300" xr:uid="{00000000-0005-0000-0000-0000A7090000}"/>
    <cellStyle name="Comma 2 3 2" xfId="1301" xr:uid="{00000000-0005-0000-0000-0000A8090000}"/>
    <cellStyle name="Comma 2 3 2 2" xfId="1302" xr:uid="{00000000-0005-0000-0000-0000A9090000}"/>
    <cellStyle name="Comma 2 3 2 3" xfId="1303" xr:uid="{00000000-0005-0000-0000-0000AA090000}"/>
    <cellStyle name="Comma 2 3 3" xfId="1304" xr:uid="{00000000-0005-0000-0000-0000AB090000}"/>
    <cellStyle name="Comma 2 3 3 2" xfId="1305" xr:uid="{00000000-0005-0000-0000-0000AC090000}"/>
    <cellStyle name="Comma 2 3 4" xfId="1306" xr:uid="{00000000-0005-0000-0000-0000AD090000}"/>
    <cellStyle name="Comma 2 3 4 2" xfId="1307" xr:uid="{00000000-0005-0000-0000-0000AE090000}"/>
    <cellStyle name="Comma 2 3 5" xfId="1308" xr:uid="{00000000-0005-0000-0000-0000AF090000}"/>
    <cellStyle name="Comma 2 3 5 2" xfId="1309" xr:uid="{00000000-0005-0000-0000-0000B0090000}"/>
    <cellStyle name="Comma 2 3 6" xfId="1310" xr:uid="{00000000-0005-0000-0000-0000B1090000}"/>
    <cellStyle name="Comma 2 3 7" xfId="1311" xr:uid="{00000000-0005-0000-0000-0000B2090000}"/>
    <cellStyle name="Comma 2 4" xfId="1312" xr:uid="{00000000-0005-0000-0000-0000B3090000}"/>
    <cellStyle name="Comma 2 4 2" xfId="1313" xr:uid="{00000000-0005-0000-0000-0000B4090000}"/>
    <cellStyle name="Comma 2 4 2 2" xfId="1314" xr:uid="{00000000-0005-0000-0000-0000B5090000}"/>
    <cellStyle name="Comma 2 4 3" xfId="1315" xr:uid="{00000000-0005-0000-0000-0000B6090000}"/>
    <cellStyle name="Comma 2 4 3 2" xfId="1316" xr:uid="{00000000-0005-0000-0000-0000B7090000}"/>
    <cellStyle name="Comma 2 4 4" xfId="1317" xr:uid="{00000000-0005-0000-0000-0000B8090000}"/>
    <cellStyle name="Comma 2 4 4 2" xfId="1318" xr:uid="{00000000-0005-0000-0000-0000B9090000}"/>
    <cellStyle name="Comma 2 4 5" xfId="1319" xr:uid="{00000000-0005-0000-0000-0000BA090000}"/>
    <cellStyle name="Comma 2 4 5 2" xfId="1320" xr:uid="{00000000-0005-0000-0000-0000BB090000}"/>
    <cellStyle name="Comma 2 4 6" xfId="1321" xr:uid="{00000000-0005-0000-0000-0000BC090000}"/>
    <cellStyle name="Comma 2 4 7" xfId="1322" xr:uid="{00000000-0005-0000-0000-0000BD090000}"/>
    <cellStyle name="Comma 2 5" xfId="1323" xr:uid="{00000000-0005-0000-0000-0000BE090000}"/>
    <cellStyle name="Comma 2 5 2" xfId="1324" xr:uid="{00000000-0005-0000-0000-0000BF090000}"/>
    <cellStyle name="Comma 2 6" xfId="1325" xr:uid="{00000000-0005-0000-0000-0000C0090000}"/>
    <cellStyle name="Comma 2 6 2" xfId="1326" xr:uid="{00000000-0005-0000-0000-0000C1090000}"/>
    <cellStyle name="Comma 2 7" xfId="1327" xr:uid="{00000000-0005-0000-0000-0000C2090000}"/>
    <cellStyle name="Comma 2 7 2" xfId="1328" xr:uid="{00000000-0005-0000-0000-0000C3090000}"/>
    <cellStyle name="Comma 2 8" xfId="1329" xr:uid="{00000000-0005-0000-0000-0000C4090000}"/>
    <cellStyle name="Comma 2 8 2" xfId="1330" xr:uid="{00000000-0005-0000-0000-0000C5090000}"/>
    <cellStyle name="Comma 2 9" xfId="1331" xr:uid="{00000000-0005-0000-0000-0000C6090000}"/>
    <cellStyle name="Comma 2 9 2" xfId="1332" xr:uid="{00000000-0005-0000-0000-0000C7090000}"/>
    <cellStyle name="Comma 2_Xl0000007" xfId="1333" xr:uid="{00000000-0005-0000-0000-0000C8090000}"/>
    <cellStyle name="Comma 20" xfId="1334" xr:uid="{00000000-0005-0000-0000-0000C9090000}"/>
    <cellStyle name="Comma 20 2" xfId="1335" xr:uid="{00000000-0005-0000-0000-0000CA090000}"/>
    <cellStyle name="Comma 20 3" xfId="2284" xr:uid="{00000000-0005-0000-0000-0000CB090000}"/>
    <cellStyle name="Comma 20 3 2" xfId="2995" xr:uid="{00000000-0005-0000-0000-0000CC090000}"/>
    <cellStyle name="Comma 20 3 2 2" xfId="4870" xr:uid="{00000000-0005-0000-0000-0000CD090000}"/>
    <cellStyle name="Comma 20 3 3" xfId="4183" xr:uid="{00000000-0005-0000-0000-0000CE090000}"/>
    <cellStyle name="Comma 21" xfId="1336" xr:uid="{00000000-0005-0000-0000-0000CF090000}"/>
    <cellStyle name="Comma 22" xfId="1337" xr:uid="{00000000-0005-0000-0000-0000D0090000}"/>
    <cellStyle name="Comma 22 2" xfId="2326" xr:uid="{00000000-0005-0000-0000-0000D1090000}"/>
    <cellStyle name="Comma 22 2 2" xfId="3037" xr:uid="{00000000-0005-0000-0000-0000D2090000}"/>
    <cellStyle name="Comma 23" xfId="1338" xr:uid="{00000000-0005-0000-0000-0000D3090000}"/>
    <cellStyle name="Comma 24" xfId="1339" xr:uid="{00000000-0005-0000-0000-0000D4090000}"/>
    <cellStyle name="Comma 25" xfId="1235" xr:uid="{00000000-0005-0000-0000-0000D5090000}"/>
    <cellStyle name="Comma 26" xfId="2333" xr:uid="{00000000-0005-0000-0000-0000D6090000}"/>
    <cellStyle name="Comma 27" xfId="2474" xr:uid="{00000000-0005-0000-0000-0000D7090000}"/>
    <cellStyle name="Comma 28" xfId="2902" xr:uid="{00000000-0005-0000-0000-0000D8090000}"/>
    <cellStyle name="Comma 29" xfId="3045" xr:uid="{00000000-0005-0000-0000-0000D9090000}"/>
    <cellStyle name="Comma 3" xfId="7" xr:uid="{00000000-0005-0000-0000-0000DA090000}"/>
    <cellStyle name="Comma 3 10" xfId="1341" xr:uid="{00000000-0005-0000-0000-0000DB090000}"/>
    <cellStyle name="Comma 3 11" xfId="1340" xr:uid="{00000000-0005-0000-0000-0000DC090000}"/>
    <cellStyle name="Comma 3 12" xfId="3048" xr:uid="{00000000-0005-0000-0000-0000DD090000}"/>
    <cellStyle name="Comma 3 2" xfId="1342" xr:uid="{00000000-0005-0000-0000-0000DE090000}"/>
    <cellStyle name="Comma 3 2 2" xfId="1343" xr:uid="{00000000-0005-0000-0000-0000DF090000}"/>
    <cellStyle name="Comma 3 2 2 2" xfId="1344" xr:uid="{00000000-0005-0000-0000-0000E0090000}"/>
    <cellStyle name="Comma 3 2 3" xfId="1345" xr:uid="{00000000-0005-0000-0000-0000E1090000}"/>
    <cellStyle name="Comma 3 2 3 2" xfId="1346" xr:uid="{00000000-0005-0000-0000-0000E2090000}"/>
    <cellStyle name="Comma 3 2 4" xfId="1347" xr:uid="{00000000-0005-0000-0000-0000E3090000}"/>
    <cellStyle name="Comma 3 2 4 2" xfId="1348" xr:uid="{00000000-0005-0000-0000-0000E4090000}"/>
    <cellStyle name="Comma 3 2 5" xfId="1349" xr:uid="{00000000-0005-0000-0000-0000E5090000}"/>
    <cellStyle name="Comma 3 2 5 2" xfId="1350" xr:uid="{00000000-0005-0000-0000-0000E6090000}"/>
    <cellStyle name="Comma 3 2 6" xfId="1351" xr:uid="{00000000-0005-0000-0000-0000E7090000}"/>
    <cellStyle name="Comma 3 3" xfId="1352" xr:uid="{00000000-0005-0000-0000-0000E8090000}"/>
    <cellStyle name="Comma 3 3 2" xfId="1353" xr:uid="{00000000-0005-0000-0000-0000E9090000}"/>
    <cellStyle name="Comma 3 4" xfId="1354" xr:uid="{00000000-0005-0000-0000-0000EA090000}"/>
    <cellStyle name="Comma 3 4 2" xfId="1355" xr:uid="{00000000-0005-0000-0000-0000EB090000}"/>
    <cellStyle name="Comma 3 5" xfId="1356" xr:uid="{00000000-0005-0000-0000-0000EC090000}"/>
    <cellStyle name="Comma 3 5 2" xfId="1357" xr:uid="{00000000-0005-0000-0000-0000ED090000}"/>
    <cellStyle name="Comma 3 6" xfId="1358" xr:uid="{00000000-0005-0000-0000-0000EE090000}"/>
    <cellStyle name="Comma 3 6 2" xfId="1359" xr:uid="{00000000-0005-0000-0000-0000EF090000}"/>
    <cellStyle name="Comma 3 7" xfId="1360" xr:uid="{00000000-0005-0000-0000-0000F0090000}"/>
    <cellStyle name="Comma 3 8" xfId="1361" xr:uid="{00000000-0005-0000-0000-0000F1090000}"/>
    <cellStyle name="Comma 3 9" xfId="1362" xr:uid="{00000000-0005-0000-0000-0000F2090000}"/>
    <cellStyle name="Comma 30" xfId="3400" xr:uid="{00000000-0005-0000-0000-0000F3090000}"/>
    <cellStyle name="Comma 31" xfId="3465" xr:uid="{00000000-0005-0000-0000-0000F4090000}"/>
    <cellStyle name="Comma 32" xfId="4091" xr:uid="{00000000-0005-0000-0000-0000F5090000}"/>
    <cellStyle name="Comma 33" xfId="5315" xr:uid="{00000000-0005-0000-0000-0000F6090000}"/>
    <cellStyle name="Comma 34" xfId="4090" xr:uid="{00000000-0005-0000-0000-0000F7090000}"/>
    <cellStyle name="Comma 35" xfId="4058" xr:uid="{00000000-0005-0000-0000-0000F8090000}"/>
    <cellStyle name="Comma 36" xfId="5316" xr:uid="{00000000-0005-0000-0000-0000F9090000}"/>
    <cellStyle name="Comma 37" xfId="5317" xr:uid="{00000000-0005-0000-0000-0000FA090000}"/>
    <cellStyle name="Comma 38" xfId="5385" xr:uid="{00000000-0005-0000-0000-0000FB090000}"/>
    <cellStyle name="Comma 39" xfId="5384" xr:uid="{00000000-0005-0000-0000-0000FC090000}"/>
    <cellStyle name="Comma 4" xfId="76" xr:uid="{00000000-0005-0000-0000-0000FD090000}"/>
    <cellStyle name="Comma 4 2" xfId="1364" xr:uid="{00000000-0005-0000-0000-0000FE090000}"/>
    <cellStyle name="Comma 4 2 2" xfId="1365" xr:uid="{00000000-0005-0000-0000-0000FF090000}"/>
    <cellStyle name="Comma 4 3" xfId="1366" xr:uid="{00000000-0005-0000-0000-0000000A0000}"/>
    <cellStyle name="Comma 4 4" xfId="1367" xr:uid="{00000000-0005-0000-0000-0000010A0000}"/>
    <cellStyle name="Comma 4 5" xfId="1363" xr:uid="{00000000-0005-0000-0000-0000020A0000}"/>
    <cellStyle name="Comma 4 6" xfId="2403" xr:uid="{00000000-0005-0000-0000-0000030A0000}"/>
    <cellStyle name="Comma 4 6 2" xfId="3325" xr:uid="{00000000-0005-0000-0000-0000040A0000}"/>
    <cellStyle name="Comma 4 6 2 2" xfId="5178" xr:uid="{00000000-0005-0000-0000-0000050A0000}"/>
    <cellStyle name="Comma 4 6 3" xfId="4283" xr:uid="{00000000-0005-0000-0000-0000060A0000}"/>
    <cellStyle name="Comma 4 7" xfId="3116" xr:uid="{00000000-0005-0000-0000-0000070A0000}"/>
    <cellStyle name="Comma 4 7 2" xfId="4970" xr:uid="{00000000-0005-0000-0000-0000080A0000}"/>
    <cellStyle name="Comma 4 8" xfId="3535" xr:uid="{00000000-0005-0000-0000-0000090A0000}"/>
    <cellStyle name="Comma 40" xfId="5391" xr:uid="{00000000-0005-0000-0000-00000A0A0000}"/>
    <cellStyle name="Comma 5" xfId="1368" xr:uid="{00000000-0005-0000-0000-00000B0A0000}"/>
    <cellStyle name="Comma 5 2" xfId="1369" xr:uid="{00000000-0005-0000-0000-00000C0A0000}"/>
    <cellStyle name="Comma 5 3" xfId="1370" xr:uid="{00000000-0005-0000-0000-00000D0A0000}"/>
    <cellStyle name="Comma 6" xfId="1371" xr:uid="{00000000-0005-0000-0000-00000E0A0000}"/>
    <cellStyle name="Comma 7" xfId="1372" xr:uid="{00000000-0005-0000-0000-00000F0A0000}"/>
    <cellStyle name="Comma 8" xfId="1373" xr:uid="{00000000-0005-0000-0000-0000100A0000}"/>
    <cellStyle name="Comma 8 10" xfId="1374" xr:uid="{00000000-0005-0000-0000-0000110A0000}"/>
    <cellStyle name="Comma 8 10 2" xfId="2252" xr:uid="{00000000-0005-0000-0000-0000120A0000}"/>
    <cellStyle name="Comma 8 10 2 2" xfId="2966" xr:uid="{00000000-0005-0000-0000-0000130A0000}"/>
    <cellStyle name="Comma 8 10 2 2 2" xfId="4841" xr:uid="{00000000-0005-0000-0000-0000140A0000}"/>
    <cellStyle name="Comma 8 10 2 3" xfId="4154" xr:uid="{00000000-0005-0000-0000-0000150A0000}"/>
    <cellStyle name="Comma 8 11" xfId="2194" xr:uid="{00000000-0005-0000-0000-0000160A0000}"/>
    <cellStyle name="Comma 8 11 2" xfId="2908" xr:uid="{00000000-0005-0000-0000-0000170A0000}"/>
    <cellStyle name="Comma 8 11 2 2" xfId="4783" xr:uid="{00000000-0005-0000-0000-0000180A0000}"/>
    <cellStyle name="Comma 8 11 3" xfId="4096" xr:uid="{00000000-0005-0000-0000-0000190A0000}"/>
    <cellStyle name="Comma 8 2" xfId="1375" xr:uid="{00000000-0005-0000-0000-00001A0A0000}"/>
    <cellStyle name="Comma 8 2 2" xfId="1376" xr:uid="{00000000-0005-0000-0000-00001B0A0000}"/>
    <cellStyle name="Comma 8 3" xfId="1377" xr:uid="{00000000-0005-0000-0000-00001C0A0000}"/>
    <cellStyle name="Comma 8 3 2" xfId="1378" xr:uid="{00000000-0005-0000-0000-00001D0A0000}"/>
    <cellStyle name="Comma 8 4" xfId="1379" xr:uid="{00000000-0005-0000-0000-00001E0A0000}"/>
    <cellStyle name="Comma 8 4 2" xfId="1380" xr:uid="{00000000-0005-0000-0000-00001F0A0000}"/>
    <cellStyle name="Comma 8 5" xfId="1381" xr:uid="{00000000-0005-0000-0000-0000200A0000}"/>
    <cellStyle name="Comma 8 5 2" xfId="1382" xr:uid="{00000000-0005-0000-0000-0000210A0000}"/>
    <cellStyle name="Comma 8 6" xfId="1383" xr:uid="{00000000-0005-0000-0000-0000220A0000}"/>
    <cellStyle name="Comma 8 6 2" xfId="1384" xr:uid="{00000000-0005-0000-0000-0000230A0000}"/>
    <cellStyle name="Comma 8 6 2 2" xfId="1385" xr:uid="{00000000-0005-0000-0000-0000240A0000}"/>
    <cellStyle name="Comma 8 6 2 3" xfId="2294" xr:uid="{00000000-0005-0000-0000-0000250A0000}"/>
    <cellStyle name="Comma 8 6 2 3 2" xfId="3005" xr:uid="{00000000-0005-0000-0000-0000260A0000}"/>
    <cellStyle name="Comma 8 6 2 3 2 2" xfId="4880" xr:uid="{00000000-0005-0000-0000-0000270A0000}"/>
    <cellStyle name="Comma 8 6 2 3 3" xfId="4193" xr:uid="{00000000-0005-0000-0000-0000280A0000}"/>
    <cellStyle name="Comma 8 6 3" xfId="1386" xr:uid="{00000000-0005-0000-0000-0000290A0000}"/>
    <cellStyle name="Comma 8 6 4" xfId="2258" xr:uid="{00000000-0005-0000-0000-00002A0A0000}"/>
    <cellStyle name="Comma 8 6 4 2" xfId="2972" xr:uid="{00000000-0005-0000-0000-00002B0A0000}"/>
    <cellStyle name="Comma 8 6 4 2 2" xfId="4847" xr:uid="{00000000-0005-0000-0000-00002C0A0000}"/>
    <cellStyle name="Comma 8 6 4 3" xfId="4160" xr:uid="{00000000-0005-0000-0000-00002D0A0000}"/>
    <cellStyle name="Comma 8 7" xfId="1387" xr:uid="{00000000-0005-0000-0000-00002E0A0000}"/>
    <cellStyle name="Comma 8 7 2" xfId="1388" xr:uid="{00000000-0005-0000-0000-00002F0A0000}"/>
    <cellStyle name="Comma 8 7 2 2" xfId="1389" xr:uid="{00000000-0005-0000-0000-0000300A0000}"/>
    <cellStyle name="Comma 8 7 2 3" xfId="2299" xr:uid="{00000000-0005-0000-0000-0000310A0000}"/>
    <cellStyle name="Comma 8 7 2 3 2" xfId="3010" xr:uid="{00000000-0005-0000-0000-0000320A0000}"/>
    <cellStyle name="Comma 8 7 2 3 2 2" xfId="4885" xr:uid="{00000000-0005-0000-0000-0000330A0000}"/>
    <cellStyle name="Comma 8 7 2 3 3" xfId="4198" xr:uid="{00000000-0005-0000-0000-0000340A0000}"/>
    <cellStyle name="Comma 8 7 3" xfId="1390" xr:uid="{00000000-0005-0000-0000-0000350A0000}"/>
    <cellStyle name="Comma 8 7 4" xfId="2265" xr:uid="{00000000-0005-0000-0000-0000360A0000}"/>
    <cellStyle name="Comma 8 7 4 2" xfId="2978" xr:uid="{00000000-0005-0000-0000-0000370A0000}"/>
    <cellStyle name="Comma 8 7 4 2 2" xfId="4853" xr:uid="{00000000-0005-0000-0000-0000380A0000}"/>
    <cellStyle name="Comma 8 7 4 3" xfId="4166" xr:uid="{00000000-0005-0000-0000-0000390A0000}"/>
    <cellStyle name="Comma 8 8" xfId="1391" xr:uid="{00000000-0005-0000-0000-00003A0A0000}"/>
    <cellStyle name="Comma 8 8 2" xfId="1392" xr:uid="{00000000-0005-0000-0000-00003B0A0000}"/>
    <cellStyle name="Comma 8 8 2 2" xfId="1393" xr:uid="{00000000-0005-0000-0000-00003C0A0000}"/>
    <cellStyle name="Comma 8 8 2 3" xfId="2314" xr:uid="{00000000-0005-0000-0000-00003D0A0000}"/>
    <cellStyle name="Comma 8 8 2 3 2" xfId="3025" xr:uid="{00000000-0005-0000-0000-00003E0A0000}"/>
    <cellStyle name="Comma 8 8 2 3 2 2" xfId="4900" xr:uid="{00000000-0005-0000-0000-00003F0A0000}"/>
    <cellStyle name="Comma 8 8 2 3 3" xfId="4213" xr:uid="{00000000-0005-0000-0000-0000400A0000}"/>
    <cellStyle name="Comma 8 8 3" xfId="1394" xr:uid="{00000000-0005-0000-0000-0000410A0000}"/>
    <cellStyle name="Comma 8 8 4" xfId="2283" xr:uid="{00000000-0005-0000-0000-0000420A0000}"/>
    <cellStyle name="Comma 8 8 4 2" xfId="2994" xr:uid="{00000000-0005-0000-0000-0000430A0000}"/>
    <cellStyle name="Comma 8 8 4 2 2" xfId="4869" xr:uid="{00000000-0005-0000-0000-0000440A0000}"/>
    <cellStyle name="Comma 8 8 4 3" xfId="4182" xr:uid="{00000000-0005-0000-0000-0000450A0000}"/>
    <cellStyle name="Comma 8 9" xfId="1395" xr:uid="{00000000-0005-0000-0000-0000460A0000}"/>
    <cellStyle name="Comma 8 9 2" xfId="1396" xr:uid="{00000000-0005-0000-0000-0000470A0000}"/>
    <cellStyle name="Comma 8 9 3" xfId="2289" xr:uid="{00000000-0005-0000-0000-0000480A0000}"/>
    <cellStyle name="Comma 8 9 3 2" xfId="3000" xr:uid="{00000000-0005-0000-0000-0000490A0000}"/>
    <cellStyle name="Comma 8 9 3 2 2" xfId="4875" xr:uid="{00000000-0005-0000-0000-00004A0A0000}"/>
    <cellStyle name="Comma 8 9 3 3" xfId="4188" xr:uid="{00000000-0005-0000-0000-00004B0A0000}"/>
    <cellStyle name="Comma 9" xfId="1397" xr:uid="{00000000-0005-0000-0000-00004C0A0000}"/>
    <cellStyle name="Comma 9 2" xfId="1398" xr:uid="{00000000-0005-0000-0000-00004D0A0000}"/>
    <cellStyle name="Comma 9 2 2" xfId="1399" xr:uid="{00000000-0005-0000-0000-00004E0A0000}"/>
    <cellStyle name="Comma 9 2 2 2" xfId="1400" xr:uid="{00000000-0005-0000-0000-00004F0A0000}"/>
    <cellStyle name="Comma 9 2 2 3" xfId="2305" xr:uid="{00000000-0005-0000-0000-0000500A0000}"/>
    <cellStyle name="Comma 9 2 2 3 2" xfId="3016" xr:uid="{00000000-0005-0000-0000-0000510A0000}"/>
    <cellStyle name="Comma 9 2 2 3 2 2" xfId="4891" xr:uid="{00000000-0005-0000-0000-0000520A0000}"/>
    <cellStyle name="Comma 9 2 2 3 3" xfId="4204" xr:uid="{00000000-0005-0000-0000-0000530A0000}"/>
    <cellStyle name="Comma 9 2 3" xfId="1401" xr:uid="{00000000-0005-0000-0000-0000540A0000}"/>
    <cellStyle name="Comma 9 2 4" xfId="2271" xr:uid="{00000000-0005-0000-0000-0000550A0000}"/>
    <cellStyle name="Comma 9 2 4 2" xfId="2984" xr:uid="{00000000-0005-0000-0000-0000560A0000}"/>
    <cellStyle name="Comma 9 2 4 2 2" xfId="4859" xr:uid="{00000000-0005-0000-0000-0000570A0000}"/>
    <cellStyle name="Comma 9 2 4 3" xfId="4172" xr:uid="{00000000-0005-0000-0000-0000580A0000}"/>
    <cellStyle name="Comma 9 3" xfId="1402" xr:uid="{00000000-0005-0000-0000-0000590A0000}"/>
    <cellStyle name="Comma 9 3 2" xfId="1403" xr:uid="{00000000-0005-0000-0000-00005A0A0000}"/>
    <cellStyle name="Comma 9 3 2 2" xfId="1404" xr:uid="{00000000-0005-0000-0000-00005B0A0000}"/>
    <cellStyle name="Comma 9 3 2 3" xfId="2304" xr:uid="{00000000-0005-0000-0000-00005C0A0000}"/>
    <cellStyle name="Comma 9 3 2 3 2" xfId="3015" xr:uid="{00000000-0005-0000-0000-00005D0A0000}"/>
    <cellStyle name="Comma 9 3 2 3 2 2" xfId="4890" xr:uid="{00000000-0005-0000-0000-00005E0A0000}"/>
    <cellStyle name="Comma 9 3 2 3 3" xfId="4203" xr:uid="{00000000-0005-0000-0000-00005F0A0000}"/>
    <cellStyle name="Comma 9 3 3" xfId="1405" xr:uid="{00000000-0005-0000-0000-0000600A0000}"/>
    <cellStyle name="Comma 9 3 4" xfId="2270" xr:uid="{00000000-0005-0000-0000-0000610A0000}"/>
    <cellStyle name="Comma 9 3 4 2" xfId="2983" xr:uid="{00000000-0005-0000-0000-0000620A0000}"/>
    <cellStyle name="Comma 9 3 4 2 2" xfId="4858" xr:uid="{00000000-0005-0000-0000-0000630A0000}"/>
    <cellStyle name="Comma 9 3 4 3" xfId="4171" xr:uid="{00000000-0005-0000-0000-0000640A0000}"/>
    <cellStyle name="Comma 9 4" xfId="1406" xr:uid="{00000000-0005-0000-0000-0000650A0000}"/>
    <cellStyle name="Comma 9 4 2" xfId="1407" xr:uid="{00000000-0005-0000-0000-0000660A0000}"/>
    <cellStyle name="Comma 9 4 3" xfId="2295" xr:uid="{00000000-0005-0000-0000-0000670A0000}"/>
    <cellStyle name="Comma 9 4 3 2" xfId="3006" xr:uid="{00000000-0005-0000-0000-0000680A0000}"/>
    <cellStyle name="Comma 9 4 3 2 2" xfId="4881" xr:uid="{00000000-0005-0000-0000-0000690A0000}"/>
    <cellStyle name="Comma 9 4 3 3" xfId="4194" xr:uid="{00000000-0005-0000-0000-00006A0A0000}"/>
    <cellStyle name="Comma 9 5" xfId="1408" xr:uid="{00000000-0005-0000-0000-00006B0A0000}"/>
    <cellStyle name="Comma 9 5 2" xfId="2260" xr:uid="{00000000-0005-0000-0000-00006C0A0000}"/>
    <cellStyle name="Comma 9 5 2 2" xfId="2974" xr:uid="{00000000-0005-0000-0000-00006D0A0000}"/>
    <cellStyle name="Comma 9 5 2 2 2" xfId="4849" xr:uid="{00000000-0005-0000-0000-00006E0A0000}"/>
    <cellStyle name="Comma 9 5 2 3" xfId="4162" xr:uid="{00000000-0005-0000-0000-00006F0A0000}"/>
    <cellStyle name="Comma 9 6" xfId="2195" xr:uid="{00000000-0005-0000-0000-0000700A0000}"/>
    <cellStyle name="Comma 9 6 2" xfId="2909" xr:uid="{00000000-0005-0000-0000-0000710A0000}"/>
    <cellStyle name="Comma 9 6 2 2" xfId="4784" xr:uid="{00000000-0005-0000-0000-0000720A0000}"/>
    <cellStyle name="Comma 9 6 3" xfId="4097" xr:uid="{00000000-0005-0000-0000-0000730A0000}"/>
    <cellStyle name="Company Name" xfId="1409" xr:uid="{00000000-0005-0000-0000-0000740A0000}"/>
    <cellStyle name="Currency 2" xfId="1410" xr:uid="{00000000-0005-0000-0000-0000750A0000}"/>
    <cellStyle name="Currency 3" xfId="1411" xr:uid="{00000000-0005-0000-0000-0000760A0000}"/>
    <cellStyle name="Currency 4" xfId="1412" xr:uid="{00000000-0005-0000-0000-0000770A0000}"/>
    <cellStyle name="Explanatory Text" xfId="227" builtinId="53" customBuiltin="1"/>
    <cellStyle name="Explanatory Text 10" xfId="1413" xr:uid="{00000000-0005-0000-0000-0000790A0000}"/>
    <cellStyle name="Explanatory Text 11" xfId="1414" xr:uid="{00000000-0005-0000-0000-00007A0A0000}"/>
    <cellStyle name="Explanatory Text 12" xfId="1415" xr:uid="{00000000-0005-0000-0000-00007B0A0000}"/>
    <cellStyle name="Explanatory Text 13" xfId="1416" xr:uid="{00000000-0005-0000-0000-00007C0A0000}"/>
    <cellStyle name="Explanatory Text 14" xfId="1417" xr:uid="{00000000-0005-0000-0000-00007D0A0000}"/>
    <cellStyle name="Explanatory Text 15" xfId="1418" xr:uid="{00000000-0005-0000-0000-00007E0A0000}"/>
    <cellStyle name="Explanatory Text 16" xfId="1419" xr:uid="{00000000-0005-0000-0000-00007F0A0000}"/>
    <cellStyle name="Explanatory Text 17" xfId="1420" xr:uid="{00000000-0005-0000-0000-0000800A0000}"/>
    <cellStyle name="Explanatory Text 18" xfId="1421" xr:uid="{00000000-0005-0000-0000-0000810A0000}"/>
    <cellStyle name="Explanatory Text 19" xfId="1422" xr:uid="{00000000-0005-0000-0000-0000820A0000}"/>
    <cellStyle name="Explanatory Text 2" xfId="1423" xr:uid="{00000000-0005-0000-0000-0000830A0000}"/>
    <cellStyle name="Explanatory Text 2 2" xfId="1424" xr:uid="{00000000-0005-0000-0000-0000840A0000}"/>
    <cellStyle name="Explanatory Text 2 3" xfId="1425" xr:uid="{00000000-0005-0000-0000-0000850A0000}"/>
    <cellStyle name="Explanatory Text 2 4" xfId="1426" xr:uid="{00000000-0005-0000-0000-0000860A0000}"/>
    <cellStyle name="Explanatory Text 2 5" xfId="1427" xr:uid="{00000000-0005-0000-0000-0000870A0000}"/>
    <cellStyle name="Explanatory Text 3" xfId="1428" xr:uid="{00000000-0005-0000-0000-0000880A0000}"/>
    <cellStyle name="Explanatory Text 4" xfId="1429" xr:uid="{00000000-0005-0000-0000-0000890A0000}"/>
    <cellStyle name="Explanatory Text 5" xfId="1430" xr:uid="{00000000-0005-0000-0000-00008A0A0000}"/>
    <cellStyle name="Explanatory Text 6" xfId="1431" xr:uid="{00000000-0005-0000-0000-00008B0A0000}"/>
    <cellStyle name="Explanatory Text 7" xfId="1432" xr:uid="{00000000-0005-0000-0000-00008C0A0000}"/>
    <cellStyle name="Explanatory Text 8" xfId="1433" xr:uid="{00000000-0005-0000-0000-00008D0A0000}"/>
    <cellStyle name="Explanatory Text 9" xfId="1434" xr:uid="{00000000-0005-0000-0000-00008E0A0000}"/>
    <cellStyle name="Good" xfId="218" builtinId="26" customBuiltin="1"/>
    <cellStyle name="Good 10" xfId="1435" xr:uid="{00000000-0005-0000-0000-0000900A0000}"/>
    <cellStyle name="Good 11" xfId="1436" xr:uid="{00000000-0005-0000-0000-0000910A0000}"/>
    <cellStyle name="Good 12" xfId="1437" xr:uid="{00000000-0005-0000-0000-0000920A0000}"/>
    <cellStyle name="Good 13" xfId="1438" xr:uid="{00000000-0005-0000-0000-0000930A0000}"/>
    <cellStyle name="Good 14" xfId="1439" xr:uid="{00000000-0005-0000-0000-0000940A0000}"/>
    <cellStyle name="Good 15" xfId="1440" xr:uid="{00000000-0005-0000-0000-0000950A0000}"/>
    <cellStyle name="Good 16" xfId="1441" xr:uid="{00000000-0005-0000-0000-0000960A0000}"/>
    <cellStyle name="Good 17" xfId="1442" xr:uid="{00000000-0005-0000-0000-0000970A0000}"/>
    <cellStyle name="Good 18" xfId="1443" xr:uid="{00000000-0005-0000-0000-0000980A0000}"/>
    <cellStyle name="Good 19" xfId="1444" xr:uid="{00000000-0005-0000-0000-0000990A0000}"/>
    <cellStyle name="Good 2" xfId="1445" xr:uid="{00000000-0005-0000-0000-00009A0A0000}"/>
    <cellStyle name="Good 2 10" xfId="1446" xr:uid="{00000000-0005-0000-0000-00009B0A0000}"/>
    <cellStyle name="Good 2 11" xfId="1447" xr:uid="{00000000-0005-0000-0000-00009C0A0000}"/>
    <cellStyle name="Good 2 2" xfId="1448" xr:uid="{00000000-0005-0000-0000-00009D0A0000}"/>
    <cellStyle name="Good 2 3" xfId="1449" xr:uid="{00000000-0005-0000-0000-00009E0A0000}"/>
    <cellStyle name="Good 2 4" xfId="1450" xr:uid="{00000000-0005-0000-0000-00009F0A0000}"/>
    <cellStyle name="Good 2 5" xfId="1451" xr:uid="{00000000-0005-0000-0000-0000A00A0000}"/>
    <cellStyle name="Good 2 6" xfId="1452" xr:uid="{00000000-0005-0000-0000-0000A10A0000}"/>
    <cellStyle name="Good 2 7" xfId="1453" xr:uid="{00000000-0005-0000-0000-0000A20A0000}"/>
    <cellStyle name="Good 2 8" xfId="1454" xr:uid="{00000000-0005-0000-0000-0000A30A0000}"/>
    <cellStyle name="Good 2 9" xfId="1455" xr:uid="{00000000-0005-0000-0000-0000A40A0000}"/>
    <cellStyle name="Good 2_Trail Balance" xfId="1456" xr:uid="{00000000-0005-0000-0000-0000A50A0000}"/>
    <cellStyle name="Good 20" xfId="1457" xr:uid="{00000000-0005-0000-0000-0000A60A0000}"/>
    <cellStyle name="Good 21" xfId="1458" xr:uid="{00000000-0005-0000-0000-0000A70A0000}"/>
    <cellStyle name="Good 3" xfId="1459" xr:uid="{00000000-0005-0000-0000-0000A80A0000}"/>
    <cellStyle name="Good 4" xfId="1460" xr:uid="{00000000-0005-0000-0000-0000A90A0000}"/>
    <cellStyle name="Good 5" xfId="1461" xr:uid="{00000000-0005-0000-0000-0000AA0A0000}"/>
    <cellStyle name="Good 5 2" xfId="1462" xr:uid="{00000000-0005-0000-0000-0000AB0A0000}"/>
    <cellStyle name="Good 5 3" xfId="1463" xr:uid="{00000000-0005-0000-0000-0000AC0A0000}"/>
    <cellStyle name="Good 5 4" xfId="1464" xr:uid="{00000000-0005-0000-0000-0000AD0A0000}"/>
    <cellStyle name="Good 5 5" xfId="1465" xr:uid="{00000000-0005-0000-0000-0000AE0A0000}"/>
    <cellStyle name="Good 6" xfId="1466" xr:uid="{00000000-0005-0000-0000-0000AF0A0000}"/>
    <cellStyle name="Good 7" xfId="1467" xr:uid="{00000000-0005-0000-0000-0000B00A0000}"/>
    <cellStyle name="Good 8" xfId="1468" xr:uid="{00000000-0005-0000-0000-0000B10A0000}"/>
    <cellStyle name="Good 9" xfId="1469" xr:uid="{00000000-0005-0000-0000-0000B20A0000}"/>
    <cellStyle name="Heading 1" xfId="214" builtinId="16" customBuiltin="1"/>
    <cellStyle name="Heading 1 10" xfId="1470" xr:uid="{00000000-0005-0000-0000-0000B40A0000}"/>
    <cellStyle name="Heading 1 11" xfId="1471" xr:uid="{00000000-0005-0000-0000-0000B50A0000}"/>
    <cellStyle name="Heading 1 12" xfId="1472" xr:uid="{00000000-0005-0000-0000-0000B60A0000}"/>
    <cellStyle name="Heading 1 13" xfId="1473" xr:uid="{00000000-0005-0000-0000-0000B70A0000}"/>
    <cellStyle name="Heading 1 14" xfId="1474" xr:uid="{00000000-0005-0000-0000-0000B80A0000}"/>
    <cellStyle name="Heading 1 15" xfId="1475" xr:uid="{00000000-0005-0000-0000-0000B90A0000}"/>
    <cellStyle name="Heading 1 16" xfId="1476" xr:uid="{00000000-0005-0000-0000-0000BA0A0000}"/>
    <cellStyle name="Heading 1 17" xfId="1477" xr:uid="{00000000-0005-0000-0000-0000BB0A0000}"/>
    <cellStyle name="Heading 1 2" xfId="1478" xr:uid="{00000000-0005-0000-0000-0000BC0A0000}"/>
    <cellStyle name="Heading 1 2 10" xfId="1479" xr:uid="{00000000-0005-0000-0000-0000BD0A0000}"/>
    <cellStyle name="Heading 1 2 11" xfId="1480" xr:uid="{00000000-0005-0000-0000-0000BE0A0000}"/>
    <cellStyle name="Heading 1 2 2" xfId="1481" xr:uid="{00000000-0005-0000-0000-0000BF0A0000}"/>
    <cellStyle name="Heading 1 2 3" xfId="1482" xr:uid="{00000000-0005-0000-0000-0000C00A0000}"/>
    <cellStyle name="Heading 1 2 4" xfId="1483" xr:uid="{00000000-0005-0000-0000-0000C10A0000}"/>
    <cellStyle name="Heading 1 2 5" xfId="1484" xr:uid="{00000000-0005-0000-0000-0000C20A0000}"/>
    <cellStyle name="Heading 1 2 6" xfId="1485" xr:uid="{00000000-0005-0000-0000-0000C30A0000}"/>
    <cellStyle name="Heading 1 2 7" xfId="1486" xr:uid="{00000000-0005-0000-0000-0000C40A0000}"/>
    <cellStyle name="Heading 1 2 8" xfId="1487" xr:uid="{00000000-0005-0000-0000-0000C50A0000}"/>
    <cellStyle name="Heading 1 2 9" xfId="1488" xr:uid="{00000000-0005-0000-0000-0000C60A0000}"/>
    <cellStyle name="Heading 1 2_Trail Balance" xfId="1489" xr:uid="{00000000-0005-0000-0000-0000C70A0000}"/>
    <cellStyle name="Heading 1 3" xfId="1490" xr:uid="{00000000-0005-0000-0000-0000C80A0000}"/>
    <cellStyle name="Heading 1 4" xfId="1491" xr:uid="{00000000-0005-0000-0000-0000C90A0000}"/>
    <cellStyle name="Heading 1 5" xfId="1492" xr:uid="{00000000-0005-0000-0000-0000CA0A0000}"/>
    <cellStyle name="Heading 1 5 2" xfId="1493" xr:uid="{00000000-0005-0000-0000-0000CB0A0000}"/>
    <cellStyle name="Heading 1 5 3" xfId="1494" xr:uid="{00000000-0005-0000-0000-0000CC0A0000}"/>
    <cellStyle name="Heading 1 5 4" xfId="1495" xr:uid="{00000000-0005-0000-0000-0000CD0A0000}"/>
    <cellStyle name="Heading 1 5 5" xfId="1496" xr:uid="{00000000-0005-0000-0000-0000CE0A0000}"/>
    <cellStyle name="Heading 1 6" xfId="1497" xr:uid="{00000000-0005-0000-0000-0000CF0A0000}"/>
    <cellStyle name="Heading 1 7" xfId="1498" xr:uid="{00000000-0005-0000-0000-0000D00A0000}"/>
    <cellStyle name="Heading 1 8" xfId="1499" xr:uid="{00000000-0005-0000-0000-0000D10A0000}"/>
    <cellStyle name="Heading 1 9" xfId="1500" xr:uid="{00000000-0005-0000-0000-0000D20A0000}"/>
    <cellStyle name="Heading 2" xfId="215" builtinId="17" customBuiltin="1"/>
    <cellStyle name="Heading 2 10" xfId="1501" xr:uid="{00000000-0005-0000-0000-0000D40A0000}"/>
    <cellStyle name="Heading 2 11" xfId="1502" xr:uid="{00000000-0005-0000-0000-0000D50A0000}"/>
    <cellStyle name="Heading 2 12" xfId="1503" xr:uid="{00000000-0005-0000-0000-0000D60A0000}"/>
    <cellStyle name="Heading 2 13" xfId="1504" xr:uid="{00000000-0005-0000-0000-0000D70A0000}"/>
    <cellStyle name="Heading 2 14" xfId="1505" xr:uid="{00000000-0005-0000-0000-0000D80A0000}"/>
    <cellStyle name="Heading 2 15" xfId="1506" xr:uid="{00000000-0005-0000-0000-0000D90A0000}"/>
    <cellStyle name="Heading 2 16" xfId="1507" xr:uid="{00000000-0005-0000-0000-0000DA0A0000}"/>
    <cellStyle name="Heading 2 17" xfId="1508" xr:uid="{00000000-0005-0000-0000-0000DB0A0000}"/>
    <cellStyle name="Heading 2 2" xfId="1509" xr:uid="{00000000-0005-0000-0000-0000DC0A0000}"/>
    <cellStyle name="Heading 2 2 10" xfId="1510" xr:uid="{00000000-0005-0000-0000-0000DD0A0000}"/>
    <cellStyle name="Heading 2 2 11" xfId="1511" xr:uid="{00000000-0005-0000-0000-0000DE0A0000}"/>
    <cellStyle name="Heading 2 2 2" xfId="1512" xr:uid="{00000000-0005-0000-0000-0000DF0A0000}"/>
    <cellStyle name="Heading 2 2 3" xfId="1513" xr:uid="{00000000-0005-0000-0000-0000E00A0000}"/>
    <cellStyle name="Heading 2 2 4" xfId="1514" xr:uid="{00000000-0005-0000-0000-0000E10A0000}"/>
    <cellStyle name="Heading 2 2 5" xfId="1515" xr:uid="{00000000-0005-0000-0000-0000E20A0000}"/>
    <cellStyle name="Heading 2 2 6" xfId="1516" xr:uid="{00000000-0005-0000-0000-0000E30A0000}"/>
    <cellStyle name="Heading 2 2 7" xfId="1517" xr:uid="{00000000-0005-0000-0000-0000E40A0000}"/>
    <cellStyle name="Heading 2 2 8" xfId="1518" xr:uid="{00000000-0005-0000-0000-0000E50A0000}"/>
    <cellStyle name="Heading 2 2 9" xfId="1519" xr:uid="{00000000-0005-0000-0000-0000E60A0000}"/>
    <cellStyle name="Heading 2 2_Trail Balance" xfId="1520" xr:uid="{00000000-0005-0000-0000-0000E70A0000}"/>
    <cellStyle name="Heading 2 3" xfId="1521" xr:uid="{00000000-0005-0000-0000-0000E80A0000}"/>
    <cellStyle name="Heading 2 4" xfId="1522" xr:uid="{00000000-0005-0000-0000-0000E90A0000}"/>
    <cellStyle name="Heading 2 5" xfId="1523" xr:uid="{00000000-0005-0000-0000-0000EA0A0000}"/>
    <cellStyle name="Heading 2 5 2" xfId="1524" xr:uid="{00000000-0005-0000-0000-0000EB0A0000}"/>
    <cellStyle name="Heading 2 5 3" xfId="1525" xr:uid="{00000000-0005-0000-0000-0000EC0A0000}"/>
    <cellStyle name="Heading 2 5 4" xfId="1526" xr:uid="{00000000-0005-0000-0000-0000ED0A0000}"/>
    <cellStyle name="Heading 2 5 5" xfId="1527" xr:uid="{00000000-0005-0000-0000-0000EE0A0000}"/>
    <cellStyle name="Heading 2 6" xfId="1528" xr:uid="{00000000-0005-0000-0000-0000EF0A0000}"/>
    <cellStyle name="Heading 2 7" xfId="1529" xr:uid="{00000000-0005-0000-0000-0000F00A0000}"/>
    <cellStyle name="Heading 2 8" xfId="1530" xr:uid="{00000000-0005-0000-0000-0000F10A0000}"/>
    <cellStyle name="Heading 2 9" xfId="1531" xr:uid="{00000000-0005-0000-0000-0000F20A0000}"/>
    <cellStyle name="Heading 3" xfId="216" builtinId="18" customBuiltin="1"/>
    <cellStyle name="Heading 3 10" xfId="1532" xr:uid="{00000000-0005-0000-0000-0000F40A0000}"/>
    <cellStyle name="Heading 3 11" xfId="1533" xr:uid="{00000000-0005-0000-0000-0000F50A0000}"/>
    <cellStyle name="Heading 3 12" xfId="1534" xr:uid="{00000000-0005-0000-0000-0000F60A0000}"/>
    <cellStyle name="Heading 3 13" xfId="1535" xr:uid="{00000000-0005-0000-0000-0000F70A0000}"/>
    <cellStyle name="Heading 3 14" xfId="1536" xr:uid="{00000000-0005-0000-0000-0000F80A0000}"/>
    <cellStyle name="Heading 3 15" xfId="1537" xr:uid="{00000000-0005-0000-0000-0000F90A0000}"/>
    <cellStyle name="Heading 3 16" xfId="1538" xr:uid="{00000000-0005-0000-0000-0000FA0A0000}"/>
    <cellStyle name="Heading 3 17" xfId="1539" xr:uid="{00000000-0005-0000-0000-0000FB0A0000}"/>
    <cellStyle name="Heading 3 2" xfId="1540" xr:uid="{00000000-0005-0000-0000-0000FC0A0000}"/>
    <cellStyle name="Heading 3 2 10" xfId="1541" xr:uid="{00000000-0005-0000-0000-0000FD0A0000}"/>
    <cellStyle name="Heading 3 2 11" xfId="1542" xr:uid="{00000000-0005-0000-0000-0000FE0A0000}"/>
    <cellStyle name="Heading 3 2 2" xfId="1543" xr:uid="{00000000-0005-0000-0000-0000FF0A0000}"/>
    <cellStyle name="Heading 3 2 3" xfId="1544" xr:uid="{00000000-0005-0000-0000-0000000B0000}"/>
    <cellStyle name="Heading 3 2 4" xfId="1545" xr:uid="{00000000-0005-0000-0000-0000010B0000}"/>
    <cellStyle name="Heading 3 2 5" xfId="1546" xr:uid="{00000000-0005-0000-0000-0000020B0000}"/>
    <cellStyle name="Heading 3 2 6" xfId="1547" xr:uid="{00000000-0005-0000-0000-0000030B0000}"/>
    <cellStyle name="Heading 3 2 7" xfId="1548" xr:uid="{00000000-0005-0000-0000-0000040B0000}"/>
    <cellStyle name="Heading 3 2 8" xfId="1549" xr:uid="{00000000-0005-0000-0000-0000050B0000}"/>
    <cellStyle name="Heading 3 2 9" xfId="1550" xr:uid="{00000000-0005-0000-0000-0000060B0000}"/>
    <cellStyle name="Heading 3 2_Trail Balance" xfId="1551" xr:uid="{00000000-0005-0000-0000-0000070B0000}"/>
    <cellStyle name="Heading 3 3" xfId="1552" xr:uid="{00000000-0005-0000-0000-0000080B0000}"/>
    <cellStyle name="Heading 3 4" xfId="1553" xr:uid="{00000000-0005-0000-0000-0000090B0000}"/>
    <cellStyle name="Heading 3 5" xfId="1554" xr:uid="{00000000-0005-0000-0000-00000A0B0000}"/>
    <cellStyle name="Heading 3 5 2" xfId="1555" xr:uid="{00000000-0005-0000-0000-00000B0B0000}"/>
    <cellStyle name="Heading 3 5 3" xfId="1556" xr:uid="{00000000-0005-0000-0000-00000C0B0000}"/>
    <cellStyle name="Heading 3 5 4" xfId="1557" xr:uid="{00000000-0005-0000-0000-00000D0B0000}"/>
    <cellStyle name="Heading 3 5 5" xfId="1558" xr:uid="{00000000-0005-0000-0000-00000E0B0000}"/>
    <cellStyle name="Heading 3 6" xfId="1559" xr:uid="{00000000-0005-0000-0000-00000F0B0000}"/>
    <cellStyle name="Heading 3 7" xfId="1560" xr:uid="{00000000-0005-0000-0000-0000100B0000}"/>
    <cellStyle name="Heading 3 8" xfId="1561" xr:uid="{00000000-0005-0000-0000-0000110B0000}"/>
    <cellStyle name="Heading 3 9" xfId="1562" xr:uid="{00000000-0005-0000-0000-0000120B0000}"/>
    <cellStyle name="Heading 4" xfId="217" builtinId="19" customBuiltin="1"/>
    <cellStyle name="Heading 4 10" xfId="1563" xr:uid="{00000000-0005-0000-0000-0000140B0000}"/>
    <cellStyle name="Heading 4 11" xfId="1564" xr:uid="{00000000-0005-0000-0000-0000150B0000}"/>
    <cellStyle name="Heading 4 12" xfId="1565" xr:uid="{00000000-0005-0000-0000-0000160B0000}"/>
    <cellStyle name="Heading 4 13" xfId="1566" xr:uid="{00000000-0005-0000-0000-0000170B0000}"/>
    <cellStyle name="Heading 4 14" xfId="1567" xr:uid="{00000000-0005-0000-0000-0000180B0000}"/>
    <cellStyle name="Heading 4 15" xfId="1568" xr:uid="{00000000-0005-0000-0000-0000190B0000}"/>
    <cellStyle name="Heading 4 16" xfId="1569" xr:uid="{00000000-0005-0000-0000-00001A0B0000}"/>
    <cellStyle name="Heading 4 17" xfId="1570" xr:uid="{00000000-0005-0000-0000-00001B0B0000}"/>
    <cellStyle name="Heading 4 2" xfId="1571" xr:uid="{00000000-0005-0000-0000-00001C0B0000}"/>
    <cellStyle name="Heading 4 2 10" xfId="1572" xr:uid="{00000000-0005-0000-0000-00001D0B0000}"/>
    <cellStyle name="Heading 4 2 11" xfId="1573" xr:uid="{00000000-0005-0000-0000-00001E0B0000}"/>
    <cellStyle name="Heading 4 2 2" xfId="1574" xr:uid="{00000000-0005-0000-0000-00001F0B0000}"/>
    <cellStyle name="Heading 4 2 3" xfId="1575" xr:uid="{00000000-0005-0000-0000-0000200B0000}"/>
    <cellStyle name="Heading 4 2 4" xfId="1576" xr:uid="{00000000-0005-0000-0000-0000210B0000}"/>
    <cellStyle name="Heading 4 2 5" xfId="1577" xr:uid="{00000000-0005-0000-0000-0000220B0000}"/>
    <cellStyle name="Heading 4 2 6" xfId="1578" xr:uid="{00000000-0005-0000-0000-0000230B0000}"/>
    <cellStyle name="Heading 4 2 7" xfId="1579" xr:uid="{00000000-0005-0000-0000-0000240B0000}"/>
    <cellStyle name="Heading 4 2 8" xfId="1580" xr:uid="{00000000-0005-0000-0000-0000250B0000}"/>
    <cellStyle name="Heading 4 2 9" xfId="1581" xr:uid="{00000000-0005-0000-0000-0000260B0000}"/>
    <cellStyle name="Heading 4 2_Trail Balance" xfId="1582" xr:uid="{00000000-0005-0000-0000-0000270B0000}"/>
    <cellStyle name="Heading 4 3" xfId="1583" xr:uid="{00000000-0005-0000-0000-0000280B0000}"/>
    <cellStyle name="Heading 4 4" xfId="1584" xr:uid="{00000000-0005-0000-0000-0000290B0000}"/>
    <cellStyle name="Heading 4 5" xfId="1585" xr:uid="{00000000-0005-0000-0000-00002A0B0000}"/>
    <cellStyle name="Heading 4 5 2" xfId="1586" xr:uid="{00000000-0005-0000-0000-00002B0B0000}"/>
    <cellStyle name="Heading 4 5 3" xfId="1587" xr:uid="{00000000-0005-0000-0000-00002C0B0000}"/>
    <cellStyle name="Heading 4 5 4" xfId="1588" xr:uid="{00000000-0005-0000-0000-00002D0B0000}"/>
    <cellStyle name="Heading 4 5 5" xfId="1589" xr:uid="{00000000-0005-0000-0000-00002E0B0000}"/>
    <cellStyle name="Heading 4 6" xfId="1590" xr:uid="{00000000-0005-0000-0000-00002F0B0000}"/>
    <cellStyle name="Heading 4 7" xfId="1591" xr:uid="{00000000-0005-0000-0000-0000300B0000}"/>
    <cellStyle name="Heading 4 8" xfId="1592" xr:uid="{00000000-0005-0000-0000-0000310B0000}"/>
    <cellStyle name="Heading 4 9" xfId="1593" xr:uid="{00000000-0005-0000-0000-0000320B0000}"/>
    <cellStyle name="Heading No Underline" xfId="1594" xr:uid="{00000000-0005-0000-0000-0000330B0000}"/>
    <cellStyle name="Heading With Underline" xfId="1595" xr:uid="{00000000-0005-0000-0000-0000340B0000}"/>
    <cellStyle name="Hyperlink" xfId="5389" builtinId="8"/>
    <cellStyle name="Hyperlink 2" xfId="1596" xr:uid="{00000000-0005-0000-0000-0000360B0000}"/>
    <cellStyle name="Input" xfId="221" builtinId="20" customBuiltin="1"/>
    <cellStyle name="Input 10" xfId="1597" xr:uid="{00000000-0005-0000-0000-0000380B0000}"/>
    <cellStyle name="Input 11" xfId="1598" xr:uid="{00000000-0005-0000-0000-0000390B0000}"/>
    <cellStyle name="Input 12" xfId="1599" xr:uid="{00000000-0005-0000-0000-00003A0B0000}"/>
    <cellStyle name="Input 13" xfId="1600" xr:uid="{00000000-0005-0000-0000-00003B0B0000}"/>
    <cellStyle name="Input 14" xfId="1601" xr:uid="{00000000-0005-0000-0000-00003C0B0000}"/>
    <cellStyle name="Input 15" xfId="1602" xr:uid="{00000000-0005-0000-0000-00003D0B0000}"/>
    <cellStyle name="Input 16" xfId="1603" xr:uid="{00000000-0005-0000-0000-00003E0B0000}"/>
    <cellStyle name="Input 17" xfId="1604" xr:uid="{00000000-0005-0000-0000-00003F0B0000}"/>
    <cellStyle name="Input 18" xfId="1605" xr:uid="{00000000-0005-0000-0000-0000400B0000}"/>
    <cellStyle name="Input 19" xfId="1606" xr:uid="{00000000-0005-0000-0000-0000410B0000}"/>
    <cellStyle name="Input 2" xfId="1607" xr:uid="{00000000-0005-0000-0000-0000420B0000}"/>
    <cellStyle name="Input 2 2" xfId="1608" xr:uid="{00000000-0005-0000-0000-0000430B0000}"/>
    <cellStyle name="Input 2 3" xfId="1609" xr:uid="{00000000-0005-0000-0000-0000440B0000}"/>
    <cellStyle name="Input 2 4" xfId="1610" xr:uid="{00000000-0005-0000-0000-0000450B0000}"/>
    <cellStyle name="Input 2 5" xfId="1611" xr:uid="{00000000-0005-0000-0000-0000460B0000}"/>
    <cellStyle name="Input 3" xfId="1612" xr:uid="{00000000-0005-0000-0000-0000470B0000}"/>
    <cellStyle name="Input 4" xfId="1613" xr:uid="{00000000-0005-0000-0000-0000480B0000}"/>
    <cellStyle name="Input 5" xfId="1614" xr:uid="{00000000-0005-0000-0000-0000490B0000}"/>
    <cellStyle name="Input 6" xfId="1615" xr:uid="{00000000-0005-0000-0000-00004A0B0000}"/>
    <cellStyle name="Input 7" xfId="1616" xr:uid="{00000000-0005-0000-0000-00004B0B0000}"/>
    <cellStyle name="Input 8" xfId="1617" xr:uid="{00000000-0005-0000-0000-00004C0B0000}"/>
    <cellStyle name="Input 9" xfId="1618" xr:uid="{00000000-0005-0000-0000-00004D0B0000}"/>
    <cellStyle name="jayesh" xfId="1619" xr:uid="{00000000-0005-0000-0000-00004E0B0000}"/>
    <cellStyle name="jayesh 2" xfId="1620" xr:uid="{00000000-0005-0000-0000-00004F0B0000}"/>
    <cellStyle name="Linked Cell" xfId="224" builtinId="24" customBuiltin="1"/>
    <cellStyle name="Linked Cell 10" xfId="1621" xr:uid="{00000000-0005-0000-0000-0000510B0000}"/>
    <cellStyle name="Linked Cell 11" xfId="1622" xr:uid="{00000000-0005-0000-0000-0000520B0000}"/>
    <cellStyle name="Linked Cell 12" xfId="1623" xr:uid="{00000000-0005-0000-0000-0000530B0000}"/>
    <cellStyle name="Linked Cell 13" xfId="1624" xr:uid="{00000000-0005-0000-0000-0000540B0000}"/>
    <cellStyle name="Linked Cell 14" xfId="1625" xr:uid="{00000000-0005-0000-0000-0000550B0000}"/>
    <cellStyle name="Linked Cell 15" xfId="1626" xr:uid="{00000000-0005-0000-0000-0000560B0000}"/>
    <cellStyle name="Linked Cell 16" xfId="1627" xr:uid="{00000000-0005-0000-0000-0000570B0000}"/>
    <cellStyle name="Linked Cell 17" xfId="1628" xr:uid="{00000000-0005-0000-0000-0000580B0000}"/>
    <cellStyle name="Linked Cell 18" xfId="1629" xr:uid="{00000000-0005-0000-0000-0000590B0000}"/>
    <cellStyle name="Linked Cell 19" xfId="1630" xr:uid="{00000000-0005-0000-0000-00005A0B0000}"/>
    <cellStyle name="Linked Cell 2" xfId="1631" xr:uid="{00000000-0005-0000-0000-00005B0B0000}"/>
    <cellStyle name="Linked Cell 2 2" xfId="1632" xr:uid="{00000000-0005-0000-0000-00005C0B0000}"/>
    <cellStyle name="Linked Cell 2 3" xfId="1633" xr:uid="{00000000-0005-0000-0000-00005D0B0000}"/>
    <cellStyle name="Linked Cell 2 4" xfId="1634" xr:uid="{00000000-0005-0000-0000-00005E0B0000}"/>
    <cellStyle name="Linked Cell 2 5" xfId="1635" xr:uid="{00000000-0005-0000-0000-00005F0B0000}"/>
    <cellStyle name="Linked Cell 3" xfId="1636" xr:uid="{00000000-0005-0000-0000-0000600B0000}"/>
    <cellStyle name="Linked Cell 4" xfId="1637" xr:uid="{00000000-0005-0000-0000-0000610B0000}"/>
    <cellStyle name="Linked Cell 5" xfId="1638" xr:uid="{00000000-0005-0000-0000-0000620B0000}"/>
    <cellStyle name="Linked Cell 6" xfId="1639" xr:uid="{00000000-0005-0000-0000-0000630B0000}"/>
    <cellStyle name="Linked Cell 7" xfId="1640" xr:uid="{00000000-0005-0000-0000-0000640B0000}"/>
    <cellStyle name="Linked Cell 8" xfId="1641" xr:uid="{00000000-0005-0000-0000-0000650B0000}"/>
    <cellStyle name="Linked Cell 9" xfId="1642" xr:uid="{00000000-0005-0000-0000-0000660B0000}"/>
    <cellStyle name="MAHESH" xfId="1643" xr:uid="{00000000-0005-0000-0000-0000670B0000}"/>
    <cellStyle name="Neutral" xfId="220" builtinId="28" customBuiltin="1"/>
    <cellStyle name="Neutral 10" xfId="1644" xr:uid="{00000000-0005-0000-0000-0000690B0000}"/>
    <cellStyle name="Neutral 11" xfId="1645" xr:uid="{00000000-0005-0000-0000-00006A0B0000}"/>
    <cellStyle name="Neutral 12" xfId="1646" xr:uid="{00000000-0005-0000-0000-00006B0B0000}"/>
    <cellStyle name="Neutral 13" xfId="1647" xr:uid="{00000000-0005-0000-0000-00006C0B0000}"/>
    <cellStyle name="Neutral 14" xfId="1648" xr:uid="{00000000-0005-0000-0000-00006D0B0000}"/>
    <cellStyle name="Neutral 15" xfId="1649" xr:uid="{00000000-0005-0000-0000-00006E0B0000}"/>
    <cellStyle name="Neutral 16" xfId="1650" xr:uid="{00000000-0005-0000-0000-00006F0B0000}"/>
    <cellStyle name="Neutral 17" xfId="1651" xr:uid="{00000000-0005-0000-0000-0000700B0000}"/>
    <cellStyle name="Neutral 18" xfId="1652" xr:uid="{00000000-0005-0000-0000-0000710B0000}"/>
    <cellStyle name="Neutral 19" xfId="1653" xr:uid="{00000000-0005-0000-0000-0000720B0000}"/>
    <cellStyle name="Neutral 2" xfId="1654" xr:uid="{00000000-0005-0000-0000-0000730B0000}"/>
    <cellStyle name="Neutral 2 2" xfId="1655" xr:uid="{00000000-0005-0000-0000-0000740B0000}"/>
    <cellStyle name="Neutral 2 3" xfId="1656" xr:uid="{00000000-0005-0000-0000-0000750B0000}"/>
    <cellStyle name="Neutral 2 4" xfId="1657" xr:uid="{00000000-0005-0000-0000-0000760B0000}"/>
    <cellStyle name="Neutral 2 5" xfId="1658" xr:uid="{00000000-0005-0000-0000-0000770B0000}"/>
    <cellStyle name="Neutral 3" xfId="1659" xr:uid="{00000000-0005-0000-0000-0000780B0000}"/>
    <cellStyle name="Neutral 4" xfId="1660" xr:uid="{00000000-0005-0000-0000-0000790B0000}"/>
    <cellStyle name="Neutral 5" xfId="1661" xr:uid="{00000000-0005-0000-0000-00007A0B0000}"/>
    <cellStyle name="Neutral 6" xfId="1662" xr:uid="{00000000-0005-0000-0000-00007B0B0000}"/>
    <cellStyle name="Neutral 7" xfId="1663" xr:uid="{00000000-0005-0000-0000-00007C0B0000}"/>
    <cellStyle name="Neutral 8" xfId="1664" xr:uid="{00000000-0005-0000-0000-00007D0B0000}"/>
    <cellStyle name="Neutral 9" xfId="1665" xr:uid="{00000000-0005-0000-0000-00007E0B0000}"/>
    <cellStyle name="Normal" xfId="0" builtinId="0"/>
    <cellStyle name="Normal 10" xfId="1666" xr:uid="{00000000-0005-0000-0000-0000800B0000}"/>
    <cellStyle name="Normal 11" xfId="1667" xr:uid="{00000000-0005-0000-0000-0000810B0000}"/>
    <cellStyle name="Normal 11 2" xfId="1668" xr:uid="{00000000-0005-0000-0000-0000820B0000}"/>
    <cellStyle name="Normal 12" xfId="1669" xr:uid="{00000000-0005-0000-0000-0000830B0000}"/>
    <cellStyle name="Normal 12 2" xfId="1670" xr:uid="{00000000-0005-0000-0000-0000840B0000}"/>
    <cellStyle name="Normal 13" xfId="1671" xr:uid="{00000000-0005-0000-0000-0000850B0000}"/>
    <cellStyle name="Normal 13 2" xfId="1672" xr:uid="{00000000-0005-0000-0000-0000860B0000}"/>
    <cellStyle name="Normal 13 2 2" xfId="1673" xr:uid="{00000000-0005-0000-0000-0000870B0000}"/>
    <cellStyle name="Normal 13 2 2 2" xfId="1674" xr:uid="{00000000-0005-0000-0000-0000880B0000}"/>
    <cellStyle name="Normal 13 2 2 2 2" xfId="2868" xr:uid="{00000000-0005-0000-0000-0000890B0000}"/>
    <cellStyle name="Normal 13 2 2 2 2 2" xfId="4746" xr:uid="{00000000-0005-0000-0000-00008A0B0000}"/>
    <cellStyle name="Normal 13 2 2 2 3" xfId="4061" xr:uid="{00000000-0005-0000-0000-00008B0B0000}"/>
    <cellStyle name="Normal 13 2 2 3" xfId="2867" xr:uid="{00000000-0005-0000-0000-00008C0B0000}"/>
    <cellStyle name="Normal 13 2 2 3 2" xfId="4745" xr:uid="{00000000-0005-0000-0000-00008D0B0000}"/>
    <cellStyle name="Normal 13 2 2 4" xfId="4060" xr:uid="{00000000-0005-0000-0000-00008E0B0000}"/>
    <cellStyle name="Normal 13 2 3" xfId="1675" xr:uid="{00000000-0005-0000-0000-00008F0B0000}"/>
    <cellStyle name="Normal 13 2 3 2" xfId="1676" xr:uid="{00000000-0005-0000-0000-0000900B0000}"/>
    <cellStyle name="Normal 13 2 3 2 2" xfId="2870" xr:uid="{00000000-0005-0000-0000-0000910B0000}"/>
    <cellStyle name="Normal 13 2 3 2 2 2" xfId="4748" xr:uid="{00000000-0005-0000-0000-0000920B0000}"/>
    <cellStyle name="Normal 13 2 3 2 3" xfId="4063" xr:uid="{00000000-0005-0000-0000-0000930B0000}"/>
    <cellStyle name="Normal 13 2 3 3" xfId="2869" xr:uid="{00000000-0005-0000-0000-0000940B0000}"/>
    <cellStyle name="Normal 13 2 3 3 2" xfId="4747" xr:uid="{00000000-0005-0000-0000-0000950B0000}"/>
    <cellStyle name="Normal 13 2 3 4" xfId="4062" xr:uid="{00000000-0005-0000-0000-0000960B0000}"/>
    <cellStyle name="Normal 13 2 4" xfId="1677" xr:uid="{00000000-0005-0000-0000-0000970B0000}"/>
    <cellStyle name="Normal 13 2 4 2" xfId="1678" xr:uid="{00000000-0005-0000-0000-0000980B0000}"/>
    <cellStyle name="Normal 13 2 4 2 2" xfId="2872" xr:uid="{00000000-0005-0000-0000-0000990B0000}"/>
    <cellStyle name="Normal 13 2 4 2 2 2" xfId="4750" xr:uid="{00000000-0005-0000-0000-00009A0B0000}"/>
    <cellStyle name="Normal 13 2 4 2 3" xfId="4065" xr:uid="{00000000-0005-0000-0000-00009B0B0000}"/>
    <cellStyle name="Normal 13 2 4 3" xfId="2871" xr:uid="{00000000-0005-0000-0000-00009C0B0000}"/>
    <cellStyle name="Normal 13 2 4 3 2" xfId="4749" xr:uid="{00000000-0005-0000-0000-00009D0B0000}"/>
    <cellStyle name="Normal 13 2 4 4" xfId="4064" xr:uid="{00000000-0005-0000-0000-00009E0B0000}"/>
    <cellStyle name="Normal 13 2 5" xfId="1679" xr:uid="{00000000-0005-0000-0000-00009F0B0000}"/>
    <cellStyle name="Normal 13 2 5 2" xfId="2873" xr:uid="{00000000-0005-0000-0000-0000A00B0000}"/>
    <cellStyle name="Normal 13 2 5 2 2" xfId="4751" xr:uid="{00000000-0005-0000-0000-0000A10B0000}"/>
    <cellStyle name="Normal 13 2 5 3" xfId="4066" xr:uid="{00000000-0005-0000-0000-0000A20B0000}"/>
    <cellStyle name="Normal 13 2 6" xfId="2253" xr:uid="{00000000-0005-0000-0000-0000A30B0000}"/>
    <cellStyle name="Normal 13 2 6 2" xfId="2967" xr:uid="{00000000-0005-0000-0000-0000A40B0000}"/>
    <cellStyle name="Normal 13 2 6 2 2" xfId="4842" xr:uid="{00000000-0005-0000-0000-0000A50B0000}"/>
    <cellStyle name="Normal 13 2 6 3" xfId="4155" xr:uid="{00000000-0005-0000-0000-0000A60B0000}"/>
    <cellStyle name="Normal 13 2 7" xfId="2866" xr:uid="{00000000-0005-0000-0000-0000A70B0000}"/>
    <cellStyle name="Normal 13 2 7 2" xfId="4744" xr:uid="{00000000-0005-0000-0000-0000A80B0000}"/>
    <cellStyle name="Normal 13 2 8" xfId="4059" xr:uid="{00000000-0005-0000-0000-0000A90B0000}"/>
    <cellStyle name="Normal 13 3" xfId="1680" xr:uid="{00000000-0005-0000-0000-0000AA0B0000}"/>
    <cellStyle name="Normal 13 3 2" xfId="1681" xr:uid="{00000000-0005-0000-0000-0000AB0B0000}"/>
    <cellStyle name="Normal 13 3 2 2" xfId="2875" xr:uid="{00000000-0005-0000-0000-0000AC0B0000}"/>
    <cellStyle name="Normal 13 3 2 2 2" xfId="4753" xr:uid="{00000000-0005-0000-0000-0000AD0B0000}"/>
    <cellStyle name="Normal 13 3 2 3" xfId="4068" xr:uid="{00000000-0005-0000-0000-0000AE0B0000}"/>
    <cellStyle name="Normal 13 3 3" xfId="2874" xr:uid="{00000000-0005-0000-0000-0000AF0B0000}"/>
    <cellStyle name="Normal 13 3 3 2" xfId="4752" xr:uid="{00000000-0005-0000-0000-0000B00B0000}"/>
    <cellStyle name="Normal 13 3 4" xfId="4067" xr:uid="{00000000-0005-0000-0000-0000B10B0000}"/>
    <cellStyle name="Normal 14" xfId="1682" xr:uid="{00000000-0005-0000-0000-0000B20B0000}"/>
    <cellStyle name="Normal 14 2" xfId="1683" xr:uid="{00000000-0005-0000-0000-0000B30B0000}"/>
    <cellStyle name="Normal 15" xfId="1684" xr:uid="{00000000-0005-0000-0000-0000B40B0000}"/>
    <cellStyle name="Normal 15 2" xfId="1685" xr:uid="{00000000-0005-0000-0000-0000B50B0000}"/>
    <cellStyle name="Normal 15 2 2" xfId="1686" xr:uid="{00000000-0005-0000-0000-0000B60B0000}"/>
    <cellStyle name="Normal 15 2 2 2" xfId="2877" xr:uid="{00000000-0005-0000-0000-0000B70B0000}"/>
    <cellStyle name="Normal 15 2 2 2 2" xfId="4755" xr:uid="{00000000-0005-0000-0000-0000B80B0000}"/>
    <cellStyle name="Normal 15 2 2 3" xfId="4070" xr:uid="{00000000-0005-0000-0000-0000B90B0000}"/>
    <cellStyle name="Normal 15 2 3" xfId="2876" xr:uid="{00000000-0005-0000-0000-0000BA0B0000}"/>
    <cellStyle name="Normal 15 2 3 2" xfId="4754" xr:uid="{00000000-0005-0000-0000-0000BB0B0000}"/>
    <cellStyle name="Normal 15 2 4" xfId="4069" xr:uid="{00000000-0005-0000-0000-0000BC0B0000}"/>
    <cellStyle name="Normal 15 3" xfId="1687" xr:uid="{00000000-0005-0000-0000-0000BD0B0000}"/>
    <cellStyle name="Normal 15 3 2" xfId="1688" xr:uid="{00000000-0005-0000-0000-0000BE0B0000}"/>
    <cellStyle name="Normal 15 3 2 2" xfId="2879" xr:uid="{00000000-0005-0000-0000-0000BF0B0000}"/>
    <cellStyle name="Normal 15 3 2 2 2" xfId="4757" xr:uid="{00000000-0005-0000-0000-0000C00B0000}"/>
    <cellStyle name="Normal 15 3 2 3" xfId="4072" xr:uid="{00000000-0005-0000-0000-0000C10B0000}"/>
    <cellStyle name="Normal 15 3 3" xfId="2878" xr:uid="{00000000-0005-0000-0000-0000C20B0000}"/>
    <cellStyle name="Normal 15 3 3 2" xfId="4756" xr:uid="{00000000-0005-0000-0000-0000C30B0000}"/>
    <cellStyle name="Normal 15 3 4" xfId="4071" xr:uid="{00000000-0005-0000-0000-0000C40B0000}"/>
    <cellStyle name="Normal 16" xfId="1689" xr:uid="{00000000-0005-0000-0000-0000C50B0000}"/>
    <cellStyle name="Normal 16 2" xfId="1690" xr:uid="{00000000-0005-0000-0000-0000C60B0000}"/>
    <cellStyle name="Normal 17" xfId="1691" xr:uid="{00000000-0005-0000-0000-0000C70B0000}"/>
    <cellStyle name="Normal 17 2" xfId="1692" xr:uid="{00000000-0005-0000-0000-0000C80B0000}"/>
    <cellStyle name="Normal 17 2 2" xfId="1693" xr:uid="{00000000-0005-0000-0000-0000C90B0000}"/>
    <cellStyle name="Normal 17 2 2 2" xfId="2881" xr:uid="{00000000-0005-0000-0000-0000CA0B0000}"/>
    <cellStyle name="Normal 17 2 2 2 2" xfId="4759" xr:uid="{00000000-0005-0000-0000-0000CB0B0000}"/>
    <cellStyle name="Normal 17 2 2 3" xfId="4074" xr:uid="{00000000-0005-0000-0000-0000CC0B0000}"/>
    <cellStyle name="Normal 17 2 3" xfId="2880" xr:uid="{00000000-0005-0000-0000-0000CD0B0000}"/>
    <cellStyle name="Normal 17 2 3 2" xfId="4758" xr:uid="{00000000-0005-0000-0000-0000CE0B0000}"/>
    <cellStyle name="Normal 17 2 4" xfId="4073" xr:uid="{00000000-0005-0000-0000-0000CF0B0000}"/>
    <cellStyle name="Normal 18" xfId="1694" xr:uid="{00000000-0005-0000-0000-0000D00B0000}"/>
    <cellStyle name="Normal 18 2" xfId="1695" xr:uid="{00000000-0005-0000-0000-0000D10B0000}"/>
    <cellStyle name="Normal 18 2 2" xfId="1696" xr:uid="{00000000-0005-0000-0000-0000D20B0000}"/>
    <cellStyle name="Normal 18 2 2 2" xfId="2883" xr:uid="{00000000-0005-0000-0000-0000D30B0000}"/>
    <cellStyle name="Normal 18 2 2 2 2" xfId="4761" xr:uid="{00000000-0005-0000-0000-0000D40B0000}"/>
    <cellStyle name="Normal 18 2 2 3" xfId="4076" xr:uid="{00000000-0005-0000-0000-0000D50B0000}"/>
    <cellStyle name="Normal 18 2 3" xfId="2882" xr:uid="{00000000-0005-0000-0000-0000D60B0000}"/>
    <cellStyle name="Normal 18 2 3 2" xfId="4760" xr:uid="{00000000-0005-0000-0000-0000D70B0000}"/>
    <cellStyle name="Normal 18 2 4" xfId="4075" xr:uid="{00000000-0005-0000-0000-0000D80B0000}"/>
    <cellStyle name="Normal 19" xfId="1697" xr:uid="{00000000-0005-0000-0000-0000D90B0000}"/>
    <cellStyle name="Normal 19 2" xfId="1698" xr:uid="{00000000-0005-0000-0000-0000DA0B0000}"/>
    <cellStyle name="Normal 19 2 2" xfId="2885" xr:uid="{00000000-0005-0000-0000-0000DB0B0000}"/>
    <cellStyle name="Normal 19 2 2 2" xfId="4763" xr:uid="{00000000-0005-0000-0000-0000DC0B0000}"/>
    <cellStyle name="Normal 19 2 3" xfId="4078" xr:uid="{00000000-0005-0000-0000-0000DD0B0000}"/>
    <cellStyle name="Normal 19 3" xfId="2259" xr:uid="{00000000-0005-0000-0000-0000DE0B0000}"/>
    <cellStyle name="Normal 19 3 2" xfId="2973" xr:uid="{00000000-0005-0000-0000-0000DF0B0000}"/>
    <cellStyle name="Normal 19 3 2 2" xfId="4848" xr:uid="{00000000-0005-0000-0000-0000E00B0000}"/>
    <cellStyle name="Normal 19 3 3" xfId="4161" xr:uid="{00000000-0005-0000-0000-0000E10B0000}"/>
    <cellStyle name="Normal 19 4" xfId="2884" xr:uid="{00000000-0005-0000-0000-0000E20B0000}"/>
    <cellStyle name="Normal 19 4 2" xfId="4762" xr:uid="{00000000-0005-0000-0000-0000E30B0000}"/>
    <cellStyle name="Normal 19 5" xfId="4077" xr:uid="{00000000-0005-0000-0000-0000E40B0000}"/>
    <cellStyle name="Normal 2" xfId="3" xr:uid="{00000000-0005-0000-0000-0000E50B0000}"/>
    <cellStyle name="Normal 2 10" xfId="1700" xr:uid="{00000000-0005-0000-0000-0000E60B0000}"/>
    <cellStyle name="Normal 2 11" xfId="1701" xr:uid="{00000000-0005-0000-0000-0000E70B0000}"/>
    <cellStyle name="Normal 2 12" xfId="1702" xr:uid="{00000000-0005-0000-0000-0000E80B0000}"/>
    <cellStyle name="Normal 2 13" xfId="1703" xr:uid="{00000000-0005-0000-0000-0000E90B0000}"/>
    <cellStyle name="Normal 2 14" xfId="1704" xr:uid="{00000000-0005-0000-0000-0000EA0B0000}"/>
    <cellStyle name="Normal 2 15" xfId="1705" xr:uid="{00000000-0005-0000-0000-0000EB0B0000}"/>
    <cellStyle name="Normal 2 16" xfId="1706" xr:uid="{00000000-0005-0000-0000-0000EC0B0000}"/>
    <cellStyle name="Normal 2 17" xfId="1707" xr:uid="{00000000-0005-0000-0000-0000ED0B0000}"/>
    <cellStyle name="Normal 2 18" xfId="1708" xr:uid="{00000000-0005-0000-0000-0000EE0B0000}"/>
    <cellStyle name="Normal 2 19" xfId="1709" xr:uid="{00000000-0005-0000-0000-0000EF0B0000}"/>
    <cellStyle name="Normal 2 2" xfId="1710" xr:uid="{00000000-0005-0000-0000-0000F00B0000}"/>
    <cellStyle name="Normal 2 2 10" xfId="1711" xr:uid="{00000000-0005-0000-0000-0000F10B0000}"/>
    <cellStyle name="Normal 2 2 10 2" xfId="1712" xr:uid="{00000000-0005-0000-0000-0000F20B0000}"/>
    <cellStyle name="Normal 2 2 11" xfId="1713" xr:uid="{00000000-0005-0000-0000-0000F30B0000}"/>
    <cellStyle name="Normal 2 2 11 2" xfId="1714" xr:uid="{00000000-0005-0000-0000-0000F40B0000}"/>
    <cellStyle name="Normal 2 2 12" xfId="1715" xr:uid="{00000000-0005-0000-0000-0000F50B0000}"/>
    <cellStyle name="Normal 2 2 12 2" xfId="1716" xr:uid="{00000000-0005-0000-0000-0000F60B0000}"/>
    <cellStyle name="Normal 2 2 13" xfId="1717" xr:uid="{00000000-0005-0000-0000-0000F70B0000}"/>
    <cellStyle name="Normal 2 2 13 2" xfId="1718" xr:uid="{00000000-0005-0000-0000-0000F80B0000}"/>
    <cellStyle name="Normal 2 2 14" xfId="1719" xr:uid="{00000000-0005-0000-0000-0000F90B0000}"/>
    <cellStyle name="Normal 2 2 14 2" xfId="1720" xr:uid="{00000000-0005-0000-0000-0000FA0B0000}"/>
    <cellStyle name="Normal 2 2 15" xfId="1721" xr:uid="{00000000-0005-0000-0000-0000FB0B0000}"/>
    <cellStyle name="Normal 2 2 2" xfId="1722" xr:uid="{00000000-0005-0000-0000-0000FC0B0000}"/>
    <cellStyle name="Normal 2 2 2 2" xfId="1723" xr:uid="{00000000-0005-0000-0000-0000FD0B0000}"/>
    <cellStyle name="Normal 2 2 3" xfId="1724" xr:uid="{00000000-0005-0000-0000-0000FE0B0000}"/>
    <cellStyle name="Normal 2 2 3 2" xfId="1725" xr:uid="{00000000-0005-0000-0000-0000FF0B0000}"/>
    <cellStyle name="Normal 2 2 4" xfId="1726" xr:uid="{00000000-0005-0000-0000-0000000C0000}"/>
    <cellStyle name="Normal 2 2 4 2" xfId="1727" xr:uid="{00000000-0005-0000-0000-0000010C0000}"/>
    <cellStyle name="Normal 2 2 5" xfId="1728" xr:uid="{00000000-0005-0000-0000-0000020C0000}"/>
    <cellStyle name="Normal 2 2 5 2" xfId="1729" xr:uid="{00000000-0005-0000-0000-0000030C0000}"/>
    <cellStyle name="Normal 2 2 6" xfId="1730" xr:uid="{00000000-0005-0000-0000-0000040C0000}"/>
    <cellStyle name="Normal 2 2 6 2" xfId="1731" xr:uid="{00000000-0005-0000-0000-0000050C0000}"/>
    <cellStyle name="Normal 2 2 7" xfId="1732" xr:uid="{00000000-0005-0000-0000-0000060C0000}"/>
    <cellStyle name="Normal 2 2 7 2" xfId="1733" xr:uid="{00000000-0005-0000-0000-0000070C0000}"/>
    <cellStyle name="Normal 2 2 8" xfId="1734" xr:uid="{00000000-0005-0000-0000-0000080C0000}"/>
    <cellStyle name="Normal 2 2 8 2" xfId="1735" xr:uid="{00000000-0005-0000-0000-0000090C0000}"/>
    <cellStyle name="Normal 2 2 9" xfId="1736" xr:uid="{00000000-0005-0000-0000-00000A0C0000}"/>
    <cellStyle name="Normal 2 2 9 2" xfId="1737" xr:uid="{00000000-0005-0000-0000-00000B0C0000}"/>
    <cellStyle name="Normal 2 2_Trail Balance" xfId="1738" xr:uid="{00000000-0005-0000-0000-00000C0C0000}"/>
    <cellStyle name="Normal 2 20" xfId="1739" xr:uid="{00000000-0005-0000-0000-00000D0C0000}"/>
    <cellStyle name="Normal 2 21" xfId="1740" xr:uid="{00000000-0005-0000-0000-00000E0C0000}"/>
    <cellStyle name="Normal 2 22" xfId="1741" xr:uid="{00000000-0005-0000-0000-00000F0C0000}"/>
    <cellStyle name="Normal 2 22 2" xfId="1742" xr:uid="{00000000-0005-0000-0000-0000100C0000}"/>
    <cellStyle name="Normal 2 23" xfId="1743" xr:uid="{00000000-0005-0000-0000-0000110C0000}"/>
    <cellStyle name="Normal 2 23 2" xfId="1744" xr:uid="{00000000-0005-0000-0000-0000120C0000}"/>
    <cellStyle name="Normal 2 24" xfId="1745" xr:uid="{00000000-0005-0000-0000-0000130C0000}"/>
    <cellStyle name="Normal 2 24 2" xfId="1746" xr:uid="{00000000-0005-0000-0000-0000140C0000}"/>
    <cellStyle name="Normal 2 25" xfId="1699" xr:uid="{00000000-0005-0000-0000-0000150C0000}"/>
    <cellStyle name="Normal 2 26" xfId="2188" xr:uid="{00000000-0005-0000-0000-0000160C0000}"/>
    <cellStyle name="Normal 2 26 2" xfId="2903" xr:uid="{00000000-0005-0000-0000-0000170C0000}"/>
    <cellStyle name="Normal 2 26 3" xfId="3255" xr:uid="{00000000-0005-0000-0000-0000180C0000}"/>
    <cellStyle name="Normal 2 27" xfId="2493" xr:uid="{00000000-0005-0000-0000-0000190C0000}"/>
    <cellStyle name="Normal 2 28" xfId="2897" xr:uid="{00000000-0005-0000-0000-00001A0C0000}"/>
    <cellStyle name="Normal 2 29" xfId="3044" xr:uid="{00000000-0005-0000-0000-00001B0C0000}"/>
    <cellStyle name="Normal 2 3" xfId="1747" xr:uid="{00000000-0005-0000-0000-00001C0C0000}"/>
    <cellStyle name="Normal 2 4" xfId="1748" xr:uid="{00000000-0005-0000-0000-00001D0C0000}"/>
    <cellStyle name="Normal 2 4 2" xfId="1749" xr:uid="{00000000-0005-0000-0000-00001E0C0000}"/>
    <cellStyle name="Normal 2 4 2 2" xfId="1750" xr:uid="{00000000-0005-0000-0000-00001F0C0000}"/>
    <cellStyle name="Normal 2 4 3" xfId="1751" xr:uid="{00000000-0005-0000-0000-0000200C0000}"/>
    <cellStyle name="Normal 2 4 3 2" xfId="1752" xr:uid="{00000000-0005-0000-0000-0000210C0000}"/>
    <cellStyle name="Normal 2 4 4" xfId="1753" xr:uid="{00000000-0005-0000-0000-0000220C0000}"/>
    <cellStyle name="Normal 2 4 4 2" xfId="1754" xr:uid="{00000000-0005-0000-0000-0000230C0000}"/>
    <cellStyle name="Normal 2 4 5" xfId="1755" xr:uid="{00000000-0005-0000-0000-0000240C0000}"/>
    <cellStyle name="Normal 2 4 5 2" xfId="1756" xr:uid="{00000000-0005-0000-0000-0000250C0000}"/>
    <cellStyle name="Normal 2 4 6" xfId="1757" xr:uid="{00000000-0005-0000-0000-0000260C0000}"/>
    <cellStyle name="Normal 2 5" xfId="1758" xr:uid="{00000000-0005-0000-0000-0000270C0000}"/>
    <cellStyle name="Normal 2 5 2" xfId="1759" xr:uid="{00000000-0005-0000-0000-0000280C0000}"/>
    <cellStyle name="Normal 2 5 2 2" xfId="1760" xr:uid="{00000000-0005-0000-0000-0000290C0000}"/>
    <cellStyle name="Normal 2 5 3" xfId="1761" xr:uid="{00000000-0005-0000-0000-00002A0C0000}"/>
    <cellStyle name="Normal 2 5 3 2" xfId="1762" xr:uid="{00000000-0005-0000-0000-00002B0C0000}"/>
    <cellStyle name="Normal 2 5 4" xfId="1763" xr:uid="{00000000-0005-0000-0000-00002C0C0000}"/>
    <cellStyle name="Normal 2 5 4 2" xfId="1764" xr:uid="{00000000-0005-0000-0000-00002D0C0000}"/>
    <cellStyle name="Normal 2 5 5" xfId="1765" xr:uid="{00000000-0005-0000-0000-00002E0C0000}"/>
    <cellStyle name="Normal 2 5 5 2" xfId="1766" xr:uid="{00000000-0005-0000-0000-00002F0C0000}"/>
    <cellStyle name="Normal 2 5 6" xfId="1767" xr:uid="{00000000-0005-0000-0000-0000300C0000}"/>
    <cellStyle name="Normal 2 6" xfId="1768" xr:uid="{00000000-0005-0000-0000-0000310C0000}"/>
    <cellStyle name="Normal 2 6 2" xfId="1769" xr:uid="{00000000-0005-0000-0000-0000320C0000}"/>
    <cellStyle name="Normal 2 6 2 2" xfId="1770" xr:uid="{00000000-0005-0000-0000-0000330C0000}"/>
    <cellStyle name="Normal 2 6 3" xfId="1771" xr:uid="{00000000-0005-0000-0000-0000340C0000}"/>
    <cellStyle name="Normal 2 6 3 2" xfId="1772" xr:uid="{00000000-0005-0000-0000-0000350C0000}"/>
    <cellStyle name="Normal 2 6 4" xfId="1773" xr:uid="{00000000-0005-0000-0000-0000360C0000}"/>
    <cellStyle name="Normal 2 6 4 2" xfId="1774" xr:uid="{00000000-0005-0000-0000-0000370C0000}"/>
    <cellStyle name="Normal 2 6 5" xfId="1775" xr:uid="{00000000-0005-0000-0000-0000380C0000}"/>
    <cellStyle name="Normal 2 6 5 2" xfId="1776" xr:uid="{00000000-0005-0000-0000-0000390C0000}"/>
    <cellStyle name="Normal 2 6 6" xfId="1777" xr:uid="{00000000-0005-0000-0000-00003A0C0000}"/>
    <cellStyle name="Normal 2 7" xfId="1778" xr:uid="{00000000-0005-0000-0000-00003B0C0000}"/>
    <cellStyle name="Normal 2 8" xfId="1779" xr:uid="{00000000-0005-0000-0000-00003C0C0000}"/>
    <cellStyle name="Normal 2 9" xfId="1780" xr:uid="{00000000-0005-0000-0000-00003D0C0000}"/>
    <cellStyle name="Normal 2_Cash Flow Working" xfId="1781" xr:uid="{00000000-0005-0000-0000-00003E0C0000}"/>
    <cellStyle name="Normal 20" xfId="1782" xr:uid="{00000000-0005-0000-0000-00003F0C0000}"/>
    <cellStyle name="Normal 20 2" xfId="1783" xr:uid="{00000000-0005-0000-0000-0000400C0000}"/>
    <cellStyle name="Normal 20 2 2" xfId="1784" xr:uid="{00000000-0005-0000-0000-0000410C0000}"/>
    <cellStyle name="Normal 20 2 2 2" xfId="2888" xr:uid="{00000000-0005-0000-0000-0000420C0000}"/>
    <cellStyle name="Normal 20 2 2 2 2" xfId="4766" xr:uid="{00000000-0005-0000-0000-0000430C0000}"/>
    <cellStyle name="Normal 20 2 2 3" xfId="4081" xr:uid="{00000000-0005-0000-0000-0000440C0000}"/>
    <cellStyle name="Normal 20 2 3" xfId="2887" xr:uid="{00000000-0005-0000-0000-0000450C0000}"/>
    <cellStyle name="Normal 20 2 3 2" xfId="4765" xr:uid="{00000000-0005-0000-0000-0000460C0000}"/>
    <cellStyle name="Normal 20 2 4" xfId="4080" xr:uid="{00000000-0005-0000-0000-0000470C0000}"/>
    <cellStyle name="Normal 20 3" xfId="1785" xr:uid="{00000000-0005-0000-0000-0000480C0000}"/>
    <cellStyle name="Normal 20 3 2" xfId="2889" xr:uid="{00000000-0005-0000-0000-0000490C0000}"/>
    <cellStyle name="Normal 20 3 2 2" xfId="4767" xr:uid="{00000000-0005-0000-0000-00004A0C0000}"/>
    <cellStyle name="Normal 20 3 3" xfId="4082" xr:uid="{00000000-0005-0000-0000-00004B0C0000}"/>
    <cellStyle name="Normal 20 4" xfId="2272" xr:uid="{00000000-0005-0000-0000-00004C0C0000}"/>
    <cellStyle name="Normal 20 4 2" xfId="2985" xr:uid="{00000000-0005-0000-0000-00004D0C0000}"/>
    <cellStyle name="Normal 20 4 2 2" xfId="4860" xr:uid="{00000000-0005-0000-0000-00004E0C0000}"/>
    <cellStyle name="Normal 20 4 3" xfId="4173" xr:uid="{00000000-0005-0000-0000-00004F0C0000}"/>
    <cellStyle name="Normal 20 5" xfId="2886" xr:uid="{00000000-0005-0000-0000-0000500C0000}"/>
    <cellStyle name="Normal 20 5 2" xfId="4764" xr:uid="{00000000-0005-0000-0000-0000510C0000}"/>
    <cellStyle name="Normal 20 6" xfId="4079" xr:uid="{00000000-0005-0000-0000-0000520C0000}"/>
    <cellStyle name="Normal 21" xfId="1786" xr:uid="{00000000-0005-0000-0000-0000530C0000}"/>
    <cellStyle name="Normal 21 2" xfId="1787" xr:uid="{00000000-0005-0000-0000-0000540C0000}"/>
    <cellStyle name="Normal 21 2 2" xfId="2891" xr:uid="{00000000-0005-0000-0000-0000550C0000}"/>
    <cellStyle name="Normal 21 2 2 2" xfId="4769" xr:uid="{00000000-0005-0000-0000-0000560C0000}"/>
    <cellStyle name="Normal 21 2 3" xfId="4084" xr:uid="{00000000-0005-0000-0000-0000570C0000}"/>
    <cellStyle name="Normal 21 3" xfId="2319" xr:uid="{00000000-0005-0000-0000-0000580C0000}"/>
    <cellStyle name="Normal 21 3 2" xfId="3030" xr:uid="{00000000-0005-0000-0000-0000590C0000}"/>
    <cellStyle name="Normal 21 4" xfId="2890" xr:uid="{00000000-0005-0000-0000-00005A0C0000}"/>
    <cellStyle name="Normal 21 4 2" xfId="4768" xr:uid="{00000000-0005-0000-0000-00005B0C0000}"/>
    <cellStyle name="Normal 21 5" xfId="4083" xr:uid="{00000000-0005-0000-0000-00005C0C0000}"/>
    <cellStyle name="Normal 22" xfId="1788" xr:uid="{00000000-0005-0000-0000-00005D0C0000}"/>
    <cellStyle name="Normal 22 2" xfId="1789" xr:uid="{00000000-0005-0000-0000-00005E0C0000}"/>
    <cellStyle name="Normal 22 2 2" xfId="2893" xr:uid="{00000000-0005-0000-0000-00005F0C0000}"/>
    <cellStyle name="Normal 22 2 2 2" xfId="4771" xr:uid="{00000000-0005-0000-0000-0000600C0000}"/>
    <cellStyle name="Normal 22 2 3" xfId="4086" xr:uid="{00000000-0005-0000-0000-0000610C0000}"/>
    <cellStyle name="Normal 22 3" xfId="2892" xr:uid="{00000000-0005-0000-0000-0000620C0000}"/>
    <cellStyle name="Normal 22 3 2" xfId="4770" xr:uid="{00000000-0005-0000-0000-0000630C0000}"/>
    <cellStyle name="Normal 22 4" xfId="4085" xr:uid="{00000000-0005-0000-0000-0000640C0000}"/>
    <cellStyle name="Normal 23" xfId="1790" xr:uid="{00000000-0005-0000-0000-0000650C0000}"/>
    <cellStyle name="Normal 23 2" xfId="1791" xr:uid="{00000000-0005-0000-0000-0000660C0000}"/>
    <cellStyle name="Normal 24" xfId="1792" xr:uid="{00000000-0005-0000-0000-0000670C0000}"/>
    <cellStyle name="Normal 24 2" xfId="1793" xr:uid="{00000000-0005-0000-0000-0000680C0000}"/>
    <cellStyle name="Normal 24 3" xfId="2263" xr:uid="{00000000-0005-0000-0000-0000690C0000}"/>
    <cellStyle name="Normal 24 4" xfId="2197" xr:uid="{00000000-0005-0000-0000-00006A0C0000}"/>
    <cellStyle name="Normal 24 4 2" xfId="2911" xr:uid="{00000000-0005-0000-0000-00006B0C0000}"/>
    <cellStyle name="Normal 24 4 2 2" xfId="4786" xr:uid="{00000000-0005-0000-0000-00006C0C0000}"/>
    <cellStyle name="Normal 24 4 3" xfId="4099" xr:uid="{00000000-0005-0000-0000-00006D0C0000}"/>
    <cellStyle name="Normal 25" xfId="1794" xr:uid="{00000000-0005-0000-0000-00006E0C0000}"/>
    <cellStyle name="Normal 25 2" xfId="1795" xr:uid="{00000000-0005-0000-0000-00006F0C0000}"/>
    <cellStyle name="Normal 25 3" xfId="1796" xr:uid="{00000000-0005-0000-0000-0000700C0000}"/>
    <cellStyle name="Normal 25 3 2" xfId="1797" xr:uid="{00000000-0005-0000-0000-0000710C0000}"/>
    <cellStyle name="Normal 26" xfId="1798" xr:uid="{00000000-0005-0000-0000-0000720C0000}"/>
    <cellStyle name="Normal 26 2" xfId="1799" xr:uid="{00000000-0005-0000-0000-0000730C0000}"/>
    <cellStyle name="Normal 27" xfId="1800" xr:uid="{00000000-0005-0000-0000-0000740C0000}"/>
    <cellStyle name="Normal 27 2" xfId="1801" xr:uid="{00000000-0005-0000-0000-0000750C0000}"/>
    <cellStyle name="Normal 28" xfId="1802" xr:uid="{00000000-0005-0000-0000-0000760C0000}"/>
    <cellStyle name="Normal 28 2" xfId="1803" xr:uid="{00000000-0005-0000-0000-0000770C0000}"/>
    <cellStyle name="Normal 29" xfId="1804" xr:uid="{00000000-0005-0000-0000-0000780C0000}"/>
    <cellStyle name="Normal 29 2" xfId="1805" xr:uid="{00000000-0005-0000-0000-0000790C0000}"/>
    <cellStyle name="Normal 3" xfId="4" xr:uid="{00000000-0005-0000-0000-00007A0C0000}"/>
    <cellStyle name="Normal 3 10" xfId="31" xr:uid="{00000000-0005-0000-0000-00007B0C0000}"/>
    <cellStyle name="Normal 3 10 10" xfId="5342" xr:uid="{00000000-0005-0000-0000-00007C0C0000}"/>
    <cellStyle name="Normal 3 10 2" xfId="61" xr:uid="{00000000-0005-0000-0000-00007D0C0000}"/>
    <cellStyle name="Normal 3 10 2 2" xfId="205" xr:uid="{00000000-0005-0000-0000-00007E0C0000}"/>
    <cellStyle name="Normal 3 10 2 2 2" xfId="3245" xr:uid="{00000000-0005-0000-0000-00007F0C0000}"/>
    <cellStyle name="Normal 3 10 2 2 2 2" xfId="5099" xr:uid="{00000000-0005-0000-0000-0000800C0000}"/>
    <cellStyle name="Normal 3 10 2 2 3" xfId="3664" xr:uid="{00000000-0005-0000-0000-0000810C0000}"/>
    <cellStyle name="Normal 3 10 2 3" xfId="2388" xr:uid="{00000000-0005-0000-0000-0000820C0000}"/>
    <cellStyle name="Normal 3 10 2 3 2" xfId="3310" xr:uid="{00000000-0005-0000-0000-0000830C0000}"/>
    <cellStyle name="Normal 3 10 2 3 2 2" xfId="5163" xr:uid="{00000000-0005-0000-0000-0000840C0000}"/>
    <cellStyle name="Normal 3 10 2 3 3" xfId="4268" xr:uid="{00000000-0005-0000-0000-0000850C0000}"/>
    <cellStyle name="Normal 3 10 2 4" xfId="3101" xr:uid="{00000000-0005-0000-0000-0000860C0000}"/>
    <cellStyle name="Normal 3 10 2 4 2" xfId="4955" xr:uid="{00000000-0005-0000-0000-0000870C0000}"/>
    <cellStyle name="Normal 3 10 2 5" xfId="3455" xr:uid="{00000000-0005-0000-0000-0000880C0000}"/>
    <cellStyle name="Normal 3 10 2 5 2" xfId="5307" xr:uid="{00000000-0005-0000-0000-0000890C0000}"/>
    <cellStyle name="Normal 3 10 2 6" xfId="3520" xr:uid="{00000000-0005-0000-0000-00008A0C0000}"/>
    <cellStyle name="Normal 3 10 2 7" xfId="5372" xr:uid="{00000000-0005-0000-0000-00008B0C0000}"/>
    <cellStyle name="Normal 3 10 3" xfId="113" xr:uid="{00000000-0005-0000-0000-00008C0C0000}"/>
    <cellStyle name="Normal 3 10 3 2" xfId="2440" xr:uid="{00000000-0005-0000-0000-00008D0C0000}"/>
    <cellStyle name="Normal 3 10 3 2 2" xfId="3362" xr:uid="{00000000-0005-0000-0000-00008E0C0000}"/>
    <cellStyle name="Normal 3 10 3 2 2 2" xfId="5215" xr:uid="{00000000-0005-0000-0000-00008F0C0000}"/>
    <cellStyle name="Normal 3 10 3 2 3" xfId="4320" xr:uid="{00000000-0005-0000-0000-0000900C0000}"/>
    <cellStyle name="Normal 3 10 3 3" xfId="3153" xr:uid="{00000000-0005-0000-0000-0000910C0000}"/>
    <cellStyle name="Normal 3 10 3 3 2" xfId="5007" xr:uid="{00000000-0005-0000-0000-0000920C0000}"/>
    <cellStyle name="Normal 3 10 3 4" xfId="3572" xr:uid="{00000000-0005-0000-0000-0000930C0000}"/>
    <cellStyle name="Normal 3 10 4" xfId="139" xr:uid="{00000000-0005-0000-0000-0000940C0000}"/>
    <cellStyle name="Normal 3 10 4 2" xfId="2466" xr:uid="{00000000-0005-0000-0000-0000950C0000}"/>
    <cellStyle name="Normal 3 10 4 2 2" xfId="3388" xr:uid="{00000000-0005-0000-0000-0000960C0000}"/>
    <cellStyle name="Normal 3 10 4 2 2 2" xfId="5241" xr:uid="{00000000-0005-0000-0000-0000970C0000}"/>
    <cellStyle name="Normal 3 10 4 2 3" xfId="4346" xr:uid="{00000000-0005-0000-0000-0000980C0000}"/>
    <cellStyle name="Normal 3 10 4 3" xfId="3179" xr:uid="{00000000-0005-0000-0000-0000990C0000}"/>
    <cellStyle name="Normal 3 10 4 3 2" xfId="5033" xr:uid="{00000000-0005-0000-0000-00009A0C0000}"/>
    <cellStyle name="Normal 3 10 4 4" xfId="3598" xr:uid="{00000000-0005-0000-0000-00009B0C0000}"/>
    <cellStyle name="Normal 3 10 5" xfId="175" xr:uid="{00000000-0005-0000-0000-00009C0C0000}"/>
    <cellStyle name="Normal 3 10 5 2" xfId="3215" xr:uid="{00000000-0005-0000-0000-00009D0C0000}"/>
    <cellStyle name="Normal 3 10 5 2 2" xfId="5069" xr:uid="{00000000-0005-0000-0000-00009E0C0000}"/>
    <cellStyle name="Normal 3 10 5 3" xfId="3634" xr:uid="{00000000-0005-0000-0000-00009F0C0000}"/>
    <cellStyle name="Normal 3 10 6" xfId="2358" xr:uid="{00000000-0005-0000-0000-0000A00C0000}"/>
    <cellStyle name="Normal 3 10 6 2" xfId="3280" xr:uid="{00000000-0005-0000-0000-0000A10C0000}"/>
    <cellStyle name="Normal 3 10 6 2 2" xfId="5133" xr:uid="{00000000-0005-0000-0000-0000A20C0000}"/>
    <cellStyle name="Normal 3 10 6 3" xfId="4238" xr:uid="{00000000-0005-0000-0000-0000A30C0000}"/>
    <cellStyle name="Normal 3 10 7" xfId="3071" xr:uid="{00000000-0005-0000-0000-0000A40C0000}"/>
    <cellStyle name="Normal 3 10 7 2" xfId="4925" xr:uid="{00000000-0005-0000-0000-0000A50C0000}"/>
    <cellStyle name="Normal 3 10 8" xfId="3425" xr:uid="{00000000-0005-0000-0000-0000A60C0000}"/>
    <cellStyle name="Normal 3 10 8 2" xfId="5277" xr:uid="{00000000-0005-0000-0000-0000A70C0000}"/>
    <cellStyle name="Normal 3 10 9" xfId="3490" xr:uid="{00000000-0005-0000-0000-0000A80C0000}"/>
    <cellStyle name="Normal 3 11" xfId="33" xr:uid="{00000000-0005-0000-0000-0000A90C0000}"/>
    <cellStyle name="Normal 3 11 2" xfId="63" xr:uid="{00000000-0005-0000-0000-0000AA0C0000}"/>
    <cellStyle name="Normal 3 11 2 2" xfId="207" xr:uid="{00000000-0005-0000-0000-0000AB0C0000}"/>
    <cellStyle name="Normal 3 11 2 2 2" xfId="3247" xr:uid="{00000000-0005-0000-0000-0000AC0C0000}"/>
    <cellStyle name="Normal 3 11 2 2 2 2" xfId="5101" xr:uid="{00000000-0005-0000-0000-0000AD0C0000}"/>
    <cellStyle name="Normal 3 11 2 2 3" xfId="3666" xr:uid="{00000000-0005-0000-0000-0000AE0C0000}"/>
    <cellStyle name="Normal 3 11 2 3" xfId="2390" xr:uid="{00000000-0005-0000-0000-0000AF0C0000}"/>
    <cellStyle name="Normal 3 11 2 3 2" xfId="3312" xr:uid="{00000000-0005-0000-0000-0000B00C0000}"/>
    <cellStyle name="Normal 3 11 2 3 2 2" xfId="5165" xr:uid="{00000000-0005-0000-0000-0000B10C0000}"/>
    <cellStyle name="Normal 3 11 2 3 3" xfId="4270" xr:uid="{00000000-0005-0000-0000-0000B20C0000}"/>
    <cellStyle name="Normal 3 11 2 4" xfId="3103" xr:uid="{00000000-0005-0000-0000-0000B30C0000}"/>
    <cellStyle name="Normal 3 11 2 4 2" xfId="4957" xr:uid="{00000000-0005-0000-0000-0000B40C0000}"/>
    <cellStyle name="Normal 3 11 2 5" xfId="3457" xr:uid="{00000000-0005-0000-0000-0000B50C0000}"/>
    <cellStyle name="Normal 3 11 2 5 2" xfId="5309" xr:uid="{00000000-0005-0000-0000-0000B60C0000}"/>
    <cellStyle name="Normal 3 11 2 6" xfId="3522" xr:uid="{00000000-0005-0000-0000-0000B70C0000}"/>
    <cellStyle name="Normal 3 11 2 7" xfId="5374" xr:uid="{00000000-0005-0000-0000-0000B80C0000}"/>
    <cellStyle name="Normal 3 11 3" xfId="141" xr:uid="{00000000-0005-0000-0000-0000B90C0000}"/>
    <cellStyle name="Normal 3 11 3 2" xfId="2468" xr:uid="{00000000-0005-0000-0000-0000BA0C0000}"/>
    <cellStyle name="Normal 3 11 3 2 2" xfId="3390" xr:uid="{00000000-0005-0000-0000-0000BB0C0000}"/>
    <cellStyle name="Normal 3 11 3 2 2 2" xfId="5243" xr:uid="{00000000-0005-0000-0000-0000BC0C0000}"/>
    <cellStyle name="Normal 3 11 3 2 3" xfId="4348" xr:uid="{00000000-0005-0000-0000-0000BD0C0000}"/>
    <cellStyle name="Normal 3 11 3 3" xfId="3181" xr:uid="{00000000-0005-0000-0000-0000BE0C0000}"/>
    <cellStyle name="Normal 3 11 3 3 2" xfId="5035" xr:uid="{00000000-0005-0000-0000-0000BF0C0000}"/>
    <cellStyle name="Normal 3 11 3 4" xfId="3600" xr:uid="{00000000-0005-0000-0000-0000C00C0000}"/>
    <cellStyle name="Normal 3 11 4" xfId="177" xr:uid="{00000000-0005-0000-0000-0000C10C0000}"/>
    <cellStyle name="Normal 3 11 4 2" xfId="3217" xr:uid="{00000000-0005-0000-0000-0000C20C0000}"/>
    <cellStyle name="Normal 3 11 4 2 2" xfId="5071" xr:uid="{00000000-0005-0000-0000-0000C30C0000}"/>
    <cellStyle name="Normal 3 11 4 3" xfId="3636" xr:uid="{00000000-0005-0000-0000-0000C40C0000}"/>
    <cellStyle name="Normal 3 11 5" xfId="2360" xr:uid="{00000000-0005-0000-0000-0000C50C0000}"/>
    <cellStyle name="Normal 3 11 5 2" xfId="3282" xr:uid="{00000000-0005-0000-0000-0000C60C0000}"/>
    <cellStyle name="Normal 3 11 5 2 2" xfId="5135" xr:uid="{00000000-0005-0000-0000-0000C70C0000}"/>
    <cellStyle name="Normal 3 11 5 3" xfId="4240" xr:uid="{00000000-0005-0000-0000-0000C80C0000}"/>
    <cellStyle name="Normal 3 11 6" xfId="3073" xr:uid="{00000000-0005-0000-0000-0000C90C0000}"/>
    <cellStyle name="Normal 3 11 6 2" xfId="4927" xr:uid="{00000000-0005-0000-0000-0000CA0C0000}"/>
    <cellStyle name="Normal 3 11 7" xfId="3427" xr:uid="{00000000-0005-0000-0000-0000CB0C0000}"/>
    <cellStyle name="Normal 3 11 7 2" xfId="5279" xr:uid="{00000000-0005-0000-0000-0000CC0C0000}"/>
    <cellStyle name="Normal 3 11 8" xfId="3492" xr:uid="{00000000-0005-0000-0000-0000CD0C0000}"/>
    <cellStyle name="Normal 3 11 9" xfId="5344" xr:uid="{00000000-0005-0000-0000-0000CE0C0000}"/>
    <cellStyle name="Normal 3 12" xfId="37" xr:uid="{00000000-0005-0000-0000-0000CF0C0000}"/>
    <cellStyle name="Normal 3 12 2" xfId="181" xr:uid="{00000000-0005-0000-0000-0000D00C0000}"/>
    <cellStyle name="Normal 3 12 2 2" xfId="3221" xr:uid="{00000000-0005-0000-0000-0000D10C0000}"/>
    <cellStyle name="Normal 3 12 2 2 2" xfId="5075" xr:uid="{00000000-0005-0000-0000-0000D20C0000}"/>
    <cellStyle name="Normal 3 12 2 3" xfId="3640" xr:uid="{00000000-0005-0000-0000-0000D30C0000}"/>
    <cellStyle name="Normal 3 12 3" xfId="2364" xr:uid="{00000000-0005-0000-0000-0000D40C0000}"/>
    <cellStyle name="Normal 3 12 3 2" xfId="3286" xr:uid="{00000000-0005-0000-0000-0000D50C0000}"/>
    <cellStyle name="Normal 3 12 3 2 2" xfId="5139" xr:uid="{00000000-0005-0000-0000-0000D60C0000}"/>
    <cellStyle name="Normal 3 12 3 3" xfId="4244" xr:uid="{00000000-0005-0000-0000-0000D70C0000}"/>
    <cellStyle name="Normal 3 12 4" xfId="3077" xr:uid="{00000000-0005-0000-0000-0000D80C0000}"/>
    <cellStyle name="Normal 3 12 4 2" xfId="4931" xr:uid="{00000000-0005-0000-0000-0000D90C0000}"/>
    <cellStyle name="Normal 3 12 5" xfId="3431" xr:uid="{00000000-0005-0000-0000-0000DA0C0000}"/>
    <cellStyle name="Normal 3 12 5 2" xfId="5283" xr:uid="{00000000-0005-0000-0000-0000DB0C0000}"/>
    <cellStyle name="Normal 3 12 6" xfId="3496" xr:uid="{00000000-0005-0000-0000-0000DC0C0000}"/>
    <cellStyle name="Normal 3 12 7" xfId="5348" xr:uid="{00000000-0005-0000-0000-0000DD0C0000}"/>
    <cellStyle name="Normal 3 13" xfId="67" xr:uid="{00000000-0005-0000-0000-0000DE0C0000}"/>
    <cellStyle name="Normal 3 13 2" xfId="211" xr:uid="{00000000-0005-0000-0000-0000DF0C0000}"/>
    <cellStyle name="Normal 3 13 2 2" xfId="3251" xr:uid="{00000000-0005-0000-0000-0000E00C0000}"/>
    <cellStyle name="Normal 3 13 2 2 2" xfId="5105" xr:uid="{00000000-0005-0000-0000-0000E10C0000}"/>
    <cellStyle name="Normal 3 13 2 3" xfId="3670" xr:uid="{00000000-0005-0000-0000-0000E20C0000}"/>
    <cellStyle name="Normal 3 13 3" xfId="2394" xr:uid="{00000000-0005-0000-0000-0000E30C0000}"/>
    <cellStyle name="Normal 3 13 3 2" xfId="3316" xr:uid="{00000000-0005-0000-0000-0000E40C0000}"/>
    <cellStyle name="Normal 3 13 3 2 2" xfId="5169" xr:uid="{00000000-0005-0000-0000-0000E50C0000}"/>
    <cellStyle name="Normal 3 13 3 3" xfId="4274" xr:uid="{00000000-0005-0000-0000-0000E60C0000}"/>
    <cellStyle name="Normal 3 13 4" xfId="3107" xr:uid="{00000000-0005-0000-0000-0000E70C0000}"/>
    <cellStyle name="Normal 3 13 4 2" xfId="4961" xr:uid="{00000000-0005-0000-0000-0000E80C0000}"/>
    <cellStyle name="Normal 3 13 5" xfId="3461" xr:uid="{00000000-0005-0000-0000-0000E90C0000}"/>
    <cellStyle name="Normal 3 13 5 2" xfId="5313" xr:uid="{00000000-0005-0000-0000-0000EA0C0000}"/>
    <cellStyle name="Normal 3 13 6" xfId="3526" xr:uid="{00000000-0005-0000-0000-0000EB0C0000}"/>
    <cellStyle name="Normal 3 13 7" xfId="5378" xr:uid="{00000000-0005-0000-0000-0000EC0C0000}"/>
    <cellStyle name="Normal 3 14" xfId="69" xr:uid="{00000000-0005-0000-0000-0000ED0C0000}"/>
    <cellStyle name="Normal 3 14 2" xfId="2396" xr:uid="{00000000-0005-0000-0000-0000EE0C0000}"/>
    <cellStyle name="Normal 3 14 2 2" xfId="3318" xr:uid="{00000000-0005-0000-0000-0000EF0C0000}"/>
    <cellStyle name="Normal 3 14 2 2 2" xfId="5171" xr:uid="{00000000-0005-0000-0000-0000F00C0000}"/>
    <cellStyle name="Normal 3 14 2 3" xfId="4276" xr:uid="{00000000-0005-0000-0000-0000F10C0000}"/>
    <cellStyle name="Normal 3 14 3" xfId="3109" xr:uid="{00000000-0005-0000-0000-0000F20C0000}"/>
    <cellStyle name="Normal 3 14 3 2" xfId="4963" xr:uid="{00000000-0005-0000-0000-0000F30C0000}"/>
    <cellStyle name="Normal 3 14 4" xfId="3528" xr:uid="{00000000-0005-0000-0000-0000F40C0000}"/>
    <cellStyle name="Normal 3 14 5" xfId="5380" xr:uid="{00000000-0005-0000-0000-0000F50C0000}"/>
    <cellStyle name="Normal 3 15" xfId="73" xr:uid="{00000000-0005-0000-0000-0000F60C0000}"/>
    <cellStyle name="Normal 3 15 2" xfId="2400" xr:uid="{00000000-0005-0000-0000-0000F70C0000}"/>
    <cellStyle name="Normal 3 15 2 2" xfId="3322" xr:uid="{00000000-0005-0000-0000-0000F80C0000}"/>
    <cellStyle name="Normal 3 15 2 2 2" xfId="5175" xr:uid="{00000000-0005-0000-0000-0000F90C0000}"/>
    <cellStyle name="Normal 3 15 2 3" xfId="4280" xr:uid="{00000000-0005-0000-0000-0000FA0C0000}"/>
    <cellStyle name="Normal 3 15 3" xfId="3113" xr:uid="{00000000-0005-0000-0000-0000FB0C0000}"/>
    <cellStyle name="Normal 3 15 3 2" xfId="4967" xr:uid="{00000000-0005-0000-0000-0000FC0C0000}"/>
    <cellStyle name="Normal 3 15 4" xfId="3532" xr:uid="{00000000-0005-0000-0000-0000FD0C0000}"/>
    <cellStyle name="Normal 3 16" xfId="77" xr:uid="{00000000-0005-0000-0000-0000FE0C0000}"/>
    <cellStyle name="Normal 3 16 2" xfId="2404" xr:uid="{00000000-0005-0000-0000-0000FF0C0000}"/>
    <cellStyle name="Normal 3 16 2 2" xfId="3326" xr:uid="{00000000-0005-0000-0000-0000000D0000}"/>
    <cellStyle name="Normal 3 16 2 2 2" xfId="5179" xr:uid="{00000000-0005-0000-0000-0000010D0000}"/>
    <cellStyle name="Normal 3 16 2 3" xfId="4284" xr:uid="{00000000-0005-0000-0000-0000020D0000}"/>
    <cellStyle name="Normal 3 16 3" xfId="3117" xr:uid="{00000000-0005-0000-0000-0000030D0000}"/>
    <cellStyle name="Normal 3 16 3 2" xfId="4971" xr:uid="{00000000-0005-0000-0000-0000040D0000}"/>
    <cellStyle name="Normal 3 16 4" xfId="3536" xr:uid="{00000000-0005-0000-0000-0000050D0000}"/>
    <cellStyle name="Normal 3 17" xfId="89" xr:uid="{00000000-0005-0000-0000-0000060D0000}"/>
    <cellStyle name="Normal 3 17 2" xfId="2416" xr:uid="{00000000-0005-0000-0000-0000070D0000}"/>
    <cellStyle name="Normal 3 17 2 2" xfId="3338" xr:uid="{00000000-0005-0000-0000-0000080D0000}"/>
    <cellStyle name="Normal 3 17 2 2 2" xfId="5191" xr:uid="{00000000-0005-0000-0000-0000090D0000}"/>
    <cellStyle name="Normal 3 17 2 3" xfId="4296" xr:uid="{00000000-0005-0000-0000-00000A0D0000}"/>
    <cellStyle name="Normal 3 17 3" xfId="3129" xr:uid="{00000000-0005-0000-0000-00000B0D0000}"/>
    <cellStyle name="Normal 3 17 3 2" xfId="4983" xr:uid="{00000000-0005-0000-0000-00000C0D0000}"/>
    <cellStyle name="Normal 3 17 4" xfId="3548" xr:uid="{00000000-0005-0000-0000-00000D0D0000}"/>
    <cellStyle name="Normal 3 18" xfId="115" xr:uid="{00000000-0005-0000-0000-00000E0D0000}"/>
    <cellStyle name="Normal 3 18 2" xfId="2442" xr:uid="{00000000-0005-0000-0000-00000F0D0000}"/>
    <cellStyle name="Normal 3 18 2 2" xfId="3364" xr:uid="{00000000-0005-0000-0000-0000100D0000}"/>
    <cellStyle name="Normal 3 18 2 2 2" xfId="5217" xr:uid="{00000000-0005-0000-0000-0000110D0000}"/>
    <cellStyle name="Normal 3 18 2 3" xfId="4322" xr:uid="{00000000-0005-0000-0000-0000120D0000}"/>
    <cellStyle name="Normal 3 18 3" xfId="3155" xr:uid="{00000000-0005-0000-0000-0000130D0000}"/>
    <cellStyle name="Normal 3 18 3 2" xfId="5009" xr:uid="{00000000-0005-0000-0000-0000140D0000}"/>
    <cellStyle name="Normal 3 18 4" xfId="3574" xr:uid="{00000000-0005-0000-0000-0000150D0000}"/>
    <cellStyle name="Normal 3 19" xfId="145" xr:uid="{00000000-0005-0000-0000-0000160D0000}"/>
    <cellStyle name="Normal 3 19 2" xfId="2472" xr:uid="{00000000-0005-0000-0000-0000170D0000}"/>
    <cellStyle name="Normal 3 19 2 2" xfId="3394" xr:uid="{00000000-0005-0000-0000-0000180D0000}"/>
    <cellStyle name="Normal 3 19 2 2 2" xfId="5247" xr:uid="{00000000-0005-0000-0000-0000190D0000}"/>
    <cellStyle name="Normal 3 19 2 3" xfId="4352" xr:uid="{00000000-0005-0000-0000-00001A0D0000}"/>
    <cellStyle name="Normal 3 19 3" xfId="3185" xr:uid="{00000000-0005-0000-0000-00001B0D0000}"/>
    <cellStyle name="Normal 3 19 3 2" xfId="5039" xr:uid="{00000000-0005-0000-0000-00001C0D0000}"/>
    <cellStyle name="Normal 3 19 4" xfId="3604" xr:uid="{00000000-0005-0000-0000-00001D0D0000}"/>
    <cellStyle name="Normal 3 2" xfId="8" xr:uid="{00000000-0005-0000-0000-00001E0D0000}"/>
    <cellStyle name="Normal 3 2 10" xfId="117" xr:uid="{00000000-0005-0000-0000-00001F0D0000}"/>
    <cellStyle name="Normal 3 2 10 2" xfId="2444" xr:uid="{00000000-0005-0000-0000-0000200D0000}"/>
    <cellStyle name="Normal 3 2 10 2 2" xfId="3366" xr:uid="{00000000-0005-0000-0000-0000210D0000}"/>
    <cellStyle name="Normal 3 2 10 2 2 2" xfId="5219" xr:uid="{00000000-0005-0000-0000-0000220D0000}"/>
    <cellStyle name="Normal 3 2 10 2 3" xfId="4324" xr:uid="{00000000-0005-0000-0000-0000230D0000}"/>
    <cellStyle name="Normal 3 2 10 3" xfId="3157" xr:uid="{00000000-0005-0000-0000-0000240D0000}"/>
    <cellStyle name="Normal 3 2 10 3 2" xfId="5011" xr:uid="{00000000-0005-0000-0000-0000250D0000}"/>
    <cellStyle name="Normal 3 2 10 4" xfId="3576" xr:uid="{00000000-0005-0000-0000-0000260D0000}"/>
    <cellStyle name="Normal 3 2 11" xfId="149" xr:uid="{00000000-0005-0000-0000-0000270D0000}"/>
    <cellStyle name="Normal 3 2 11 2" xfId="3189" xr:uid="{00000000-0005-0000-0000-0000280D0000}"/>
    <cellStyle name="Normal 3 2 11 2 2" xfId="5043" xr:uid="{00000000-0005-0000-0000-0000290D0000}"/>
    <cellStyle name="Normal 3 2 11 3" xfId="3608" xr:uid="{00000000-0005-0000-0000-00002A0D0000}"/>
    <cellStyle name="Normal 3 2 12" xfId="153" xr:uid="{00000000-0005-0000-0000-00002B0D0000}"/>
    <cellStyle name="Normal 3 2 12 2" xfId="3193" xr:uid="{00000000-0005-0000-0000-00002C0D0000}"/>
    <cellStyle name="Normal 3 2 12 2 2" xfId="5047" xr:uid="{00000000-0005-0000-0000-00002D0D0000}"/>
    <cellStyle name="Normal 3 2 12 3" xfId="3612" xr:uid="{00000000-0005-0000-0000-00002E0D0000}"/>
    <cellStyle name="Normal 3 2 13" xfId="1807" xr:uid="{00000000-0005-0000-0000-00002F0D0000}"/>
    <cellStyle name="Normal 3 2 14" xfId="2336" xr:uid="{00000000-0005-0000-0000-0000300D0000}"/>
    <cellStyle name="Normal 3 2 14 2" xfId="3258" xr:uid="{00000000-0005-0000-0000-0000310D0000}"/>
    <cellStyle name="Normal 3 2 14 2 2" xfId="5111" xr:uid="{00000000-0005-0000-0000-0000320D0000}"/>
    <cellStyle name="Normal 3 2 14 3" xfId="4216" xr:uid="{00000000-0005-0000-0000-0000330D0000}"/>
    <cellStyle name="Normal 3 2 15" xfId="2477" xr:uid="{00000000-0005-0000-0000-0000340D0000}"/>
    <cellStyle name="Normal 3 2 15 2" xfId="3398" xr:uid="{00000000-0005-0000-0000-0000350D0000}"/>
    <cellStyle name="Normal 3 2 15 2 2" xfId="5251" xr:uid="{00000000-0005-0000-0000-0000360D0000}"/>
    <cellStyle name="Normal 3 2 15 3" xfId="4356" xr:uid="{00000000-0005-0000-0000-0000370D0000}"/>
    <cellStyle name="Normal 3 2 16" xfId="2899" xr:uid="{00000000-0005-0000-0000-0000380D0000}"/>
    <cellStyle name="Normal 3 2 16 2" xfId="4776" xr:uid="{00000000-0005-0000-0000-0000390D0000}"/>
    <cellStyle name="Normal 3 2 17" xfId="3049" xr:uid="{00000000-0005-0000-0000-00003A0D0000}"/>
    <cellStyle name="Normal 3 2 17 2" xfId="4903" xr:uid="{00000000-0005-0000-0000-00003B0D0000}"/>
    <cellStyle name="Normal 3 2 18" xfId="3403" xr:uid="{00000000-0005-0000-0000-00003C0D0000}"/>
    <cellStyle name="Normal 3 2 18 2" xfId="5255" xr:uid="{00000000-0005-0000-0000-00003D0D0000}"/>
    <cellStyle name="Normal 3 2 19" xfId="3468" xr:uid="{00000000-0005-0000-0000-00003E0D0000}"/>
    <cellStyle name="Normal 3 2 2" xfId="17" xr:uid="{00000000-0005-0000-0000-00003F0D0000}"/>
    <cellStyle name="Normal 3 2 2 10" xfId="3411" xr:uid="{00000000-0005-0000-0000-0000400D0000}"/>
    <cellStyle name="Normal 3 2 2 10 2" xfId="5263" xr:uid="{00000000-0005-0000-0000-0000410D0000}"/>
    <cellStyle name="Normal 3 2 2 11" xfId="3476" xr:uid="{00000000-0005-0000-0000-0000420D0000}"/>
    <cellStyle name="Normal 3 2 2 12" xfId="5328" xr:uid="{00000000-0005-0000-0000-0000430D0000}"/>
    <cellStyle name="Normal 3 2 2 2" xfId="47" xr:uid="{00000000-0005-0000-0000-0000440D0000}"/>
    <cellStyle name="Normal 3 2 2 2 2" xfId="191" xr:uid="{00000000-0005-0000-0000-0000450D0000}"/>
    <cellStyle name="Normal 3 2 2 2 2 2" xfId="3231" xr:uid="{00000000-0005-0000-0000-0000460D0000}"/>
    <cellStyle name="Normal 3 2 2 2 2 2 2" xfId="5085" xr:uid="{00000000-0005-0000-0000-0000470D0000}"/>
    <cellStyle name="Normal 3 2 2 2 2 3" xfId="3650" xr:uid="{00000000-0005-0000-0000-0000480D0000}"/>
    <cellStyle name="Normal 3 2 2 2 3" xfId="1809" xr:uid="{00000000-0005-0000-0000-0000490D0000}"/>
    <cellStyle name="Normal 3 2 2 2 4" xfId="2374" xr:uid="{00000000-0005-0000-0000-00004A0D0000}"/>
    <cellStyle name="Normal 3 2 2 2 4 2" xfId="3296" xr:uid="{00000000-0005-0000-0000-00004B0D0000}"/>
    <cellStyle name="Normal 3 2 2 2 4 2 2" xfId="5149" xr:uid="{00000000-0005-0000-0000-00004C0D0000}"/>
    <cellStyle name="Normal 3 2 2 2 4 3" xfId="4254" xr:uid="{00000000-0005-0000-0000-00004D0D0000}"/>
    <cellStyle name="Normal 3 2 2 2 5" xfId="3087" xr:uid="{00000000-0005-0000-0000-00004E0D0000}"/>
    <cellStyle name="Normal 3 2 2 2 5 2" xfId="4941" xr:uid="{00000000-0005-0000-0000-00004F0D0000}"/>
    <cellStyle name="Normal 3 2 2 2 6" xfId="3441" xr:uid="{00000000-0005-0000-0000-0000500D0000}"/>
    <cellStyle name="Normal 3 2 2 2 6 2" xfId="5293" xr:uid="{00000000-0005-0000-0000-0000510D0000}"/>
    <cellStyle name="Normal 3 2 2 2 7" xfId="3506" xr:uid="{00000000-0005-0000-0000-0000520D0000}"/>
    <cellStyle name="Normal 3 2 2 2 8" xfId="5358" xr:uid="{00000000-0005-0000-0000-0000530D0000}"/>
    <cellStyle name="Normal 3 2 2 3" xfId="87" xr:uid="{00000000-0005-0000-0000-0000540D0000}"/>
    <cellStyle name="Normal 3 2 2 3 2" xfId="2414" xr:uid="{00000000-0005-0000-0000-0000550D0000}"/>
    <cellStyle name="Normal 3 2 2 3 2 2" xfId="3336" xr:uid="{00000000-0005-0000-0000-0000560D0000}"/>
    <cellStyle name="Normal 3 2 2 3 2 2 2" xfId="5189" xr:uid="{00000000-0005-0000-0000-0000570D0000}"/>
    <cellStyle name="Normal 3 2 2 3 2 3" xfId="4294" xr:uid="{00000000-0005-0000-0000-0000580D0000}"/>
    <cellStyle name="Normal 3 2 2 3 3" xfId="3127" xr:uid="{00000000-0005-0000-0000-0000590D0000}"/>
    <cellStyle name="Normal 3 2 2 3 3 2" xfId="4981" xr:uid="{00000000-0005-0000-0000-00005A0D0000}"/>
    <cellStyle name="Normal 3 2 2 3 4" xfId="3546" xr:uid="{00000000-0005-0000-0000-00005B0D0000}"/>
    <cellStyle name="Normal 3 2 2 4" xfId="99" xr:uid="{00000000-0005-0000-0000-00005C0D0000}"/>
    <cellStyle name="Normal 3 2 2 4 2" xfId="2426" xr:uid="{00000000-0005-0000-0000-00005D0D0000}"/>
    <cellStyle name="Normal 3 2 2 4 2 2" xfId="3348" xr:uid="{00000000-0005-0000-0000-00005E0D0000}"/>
    <cellStyle name="Normal 3 2 2 4 2 2 2" xfId="5201" xr:uid="{00000000-0005-0000-0000-00005F0D0000}"/>
    <cellStyle name="Normal 3 2 2 4 2 3" xfId="4306" xr:uid="{00000000-0005-0000-0000-0000600D0000}"/>
    <cellStyle name="Normal 3 2 2 4 3" xfId="3139" xr:uid="{00000000-0005-0000-0000-0000610D0000}"/>
    <cellStyle name="Normal 3 2 2 4 3 2" xfId="4993" xr:uid="{00000000-0005-0000-0000-0000620D0000}"/>
    <cellStyle name="Normal 3 2 2 4 4" xfId="3558" xr:uid="{00000000-0005-0000-0000-0000630D0000}"/>
    <cellStyle name="Normal 3 2 2 5" xfId="125" xr:uid="{00000000-0005-0000-0000-0000640D0000}"/>
    <cellStyle name="Normal 3 2 2 5 2" xfId="2452" xr:uid="{00000000-0005-0000-0000-0000650D0000}"/>
    <cellStyle name="Normal 3 2 2 5 2 2" xfId="3374" xr:uid="{00000000-0005-0000-0000-0000660D0000}"/>
    <cellStyle name="Normal 3 2 2 5 2 2 2" xfId="5227" xr:uid="{00000000-0005-0000-0000-0000670D0000}"/>
    <cellStyle name="Normal 3 2 2 5 2 3" xfId="4332" xr:uid="{00000000-0005-0000-0000-0000680D0000}"/>
    <cellStyle name="Normal 3 2 2 5 3" xfId="3165" xr:uid="{00000000-0005-0000-0000-0000690D0000}"/>
    <cellStyle name="Normal 3 2 2 5 3 2" xfId="5019" xr:uid="{00000000-0005-0000-0000-00006A0D0000}"/>
    <cellStyle name="Normal 3 2 2 5 4" xfId="3584" xr:uid="{00000000-0005-0000-0000-00006B0D0000}"/>
    <cellStyle name="Normal 3 2 2 6" xfId="161" xr:uid="{00000000-0005-0000-0000-00006C0D0000}"/>
    <cellStyle name="Normal 3 2 2 6 2" xfId="3201" xr:uid="{00000000-0005-0000-0000-00006D0D0000}"/>
    <cellStyle name="Normal 3 2 2 6 2 2" xfId="5055" xr:uid="{00000000-0005-0000-0000-00006E0D0000}"/>
    <cellStyle name="Normal 3 2 2 6 3" xfId="3620" xr:uid="{00000000-0005-0000-0000-00006F0D0000}"/>
    <cellStyle name="Normal 3 2 2 7" xfId="1808" xr:uid="{00000000-0005-0000-0000-0000700D0000}"/>
    <cellStyle name="Normal 3 2 2 8" xfId="2344" xr:uid="{00000000-0005-0000-0000-0000710D0000}"/>
    <cellStyle name="Normal 3 2 2 8 2" xfId="3266" xr:uid="{00000000-0005-0000-0000-0000720D0000}"/>
    <cellStyle name="Normal 3 2 2 8 2 2" xfId="5119" xr:uid="{00000000-0005-0000-0000-0000730D0000}"/>
    <cellStyle name="Normal 3 2 2 8 3" xfId="4224" xr:uid="{00000000-0005-0000-0000-0000740D0000}"/>
    <cellStyle name="Normal 3 2 2 9" xfId="3057" xr:uid="{00000000-0005-0000-0000-0000750D0000}"/>
    <cellStyle name="Normal 3 2 2 9 2" xfId="4911" xr:uid="{00000000-0005-0000-0000-0000760D0000}"/>
    <cellStyle name="Normal 3 2 20" xfId="5320" xr:uid="{00000000-0005-0000-0000-0000770D0000}"/>
    <cellStyle name="Normal 3 2 3" xfId="23" xr:uid="{00000000-0005-0000-0000-0000780D0000}"/>
    <cellStyle name="Normal 3 2 3 10" xfId="3482" xr:uid="{00000000-0005-0000-0000-0000790D0000}"/>
    <cellStyle name="Normal 3 2 3 11" xfId="5334" xr:uid="{00000000-0005-0000-0000-00007A0D0000}"/>
    <cellStyle name="Normal 3 2 3 2" xfId="53" xr:uid="{00000000-0005-0000-0000-00007B0D0000}"/>
    <cellStyle name="Normal 3 2 3 2 2" xfId="197" xr:uid="{00000000-0005-0000-0000-00007C0D0000}"/>
    <cellStyle name="Normal 3 2 3 2 2 2" xfId="3237" xr:uid="{00000000-0005-0000-0000-00007D0D0000}"/>
    <cellStyle name="Normal 3 2 3 2 2 2 2" xfId="5091" xr:uid="{00000000-0005-0000-0000-00007E0D0000}"/>
    <cellStyle name="Normal 3 2 3 2 2 3" xfId="3656" xr:uid="{00000000-0005-0000-0000-00007F0D0000}"/>
    <cellStyle name="Normal 3 2 3 2 3" xfId="1811" xr:uid="{00000000-0005-0000-0000-0000800D0000}"/>
    <cellStyle name="Normal 3 2 3 2 4" xfId="2380" xr:uid="{00000000-0005-0000-0000-0000810D0000}"/>
    <cellStyle name="Normal 3 2 3 2 4 2" xfId="3302" xr:uid="{00000000-0005-0000-0000-0000820D0000}"/>
    <cellStyle name="Normal 3 2 3 2 4 2 2" xfId="5155" xr:uid="{00000000-0005-0000-0000-0000830D0000}"/>
    <cellStyle name="Normal 3 2 3 2 4 3" xfId="4260" xr:uid="{00000000-0005-0000-0000-0000840D0000}"/>
    <cellStyle name="Normal 3 2 3 2 5" xfId="3093" xr:uid="{00000000-0005-0000-0000-0000850D0000}"/>
    <cellStyle name="Normal 3 2 3 2 5 2" xfId="4947" xr:uid="{00000000-0005-0000-0000-0000860D0000}"/>
    <cellStyle name="Normal 3 2 3 2 6" xfId="3447" xr:uid="{00000000-0005-0000-0000-0000870D0000}"/>
    <cellStyle name="Normal 3 2 3 2 6 2" xfId="5299" xr:uid="{00000000-0005-0000-0000-0000880D0000}"/>
    <cellStyle name="Normal 3 2 3 2 7" xfId="3512" xr:uid="{00000000-0005-0000-0000-0000890D0000}"/>
    <cellStyle name="Normal 3 2 3 2 8" xfId="5364" xr:uid="{00000000-0005-0000-0000-00008A0D0000}"/>
    <cellStyle name="Normal 3 2 3 3" xfId="105" xr:uid="{00000000-0005-0000-0000-00008B0D0000}"/>
    <cellStyle name="Normal 3 2 3 3 2" xfId="2432" xr:uid="{00000000-0005-0000-0000-00008C0D0000}"/>
    <cellStyle name="Normal 3 2 3 3 2 2" xfId="3354" xr:uid="{00000000-0005-0000-0000-00008D0D0000}"/>
    <cellStyle name="Normal 3 2 3 3 2 2 2" xfId="5207" xr:uid="{00000000-0005-0000-0000-00008E0D0000}"/>
    <cellStyle name="Normal 3 2 3 3 2 3" xfId="4312" xr:uid="{00000000-0005-0000-0000-00008F0D0000}"/>
    <cellStyle name="Normal 3 2 3 3 3" xfId="3145" xr:uid="{00000000-0005-0000-0000-0000900D0000}"/>
    <cellStyle name="Normal 3 2 3 3 3 2" xfId="4999" xr:uid="{00000000-0005-0000-0000-0000910D0000}"/>
    <cellStyle name="Normal 3 2 3 3 4" xfId="3564" xr:uid="{00000000-0005-0000-0000-0000920D0000}"/>
    <cellStyle name="Normal 3 2 3 4" xfId="131" xr:uid="{00000000-0005-0000-0000-0000930D0000}"/>
    <cellStyle name="Normal 3 2 3 4 2" xfId="2458" xr:uid="{00000000-0005-0000-0000-0000940D0000}"/>
    <cellStyle name="Normal 3 2 3 4 2 2" xfId="3380" xr:uid="{00000000-0005-0000-0000-0000950D0000}"/>
    <cellStyle name="Normal 3 2 3 4 2 2 2" xfId="5233" xr:uid="{00000000-0005-0000-0000-0000960D0000}"/>
    <cellStyle name="Normal 3 2 3 4 2 3" xfId="4338" xr:uid="{00000000-0005-0000-0000-0000970D0000}"/>
    <cellStyle name="Normal 3 2 3 4 3" xfId="3171" xr:uid="{00000000-0005-0000-0000-0000980D0000}"/>
    <cellStyle name="Normal 3 2 3 4 3 2" xfId="5025" xr:uid="{00000000-0005-0000-0000-0000990D0000}"/>
    <cellStyle name="Normal 3 2 3 4 4" xfId="3590" xr:uid="{00000000-0005-0000-0000-00009A0D0000}"/>
    <cellStyle name="Normal 3 2 3 5" xfId="167" xr:uid="{00000000-0005-0000-0000-00009B0D0000}"/>
    <cellStyle name="Normal 3 2 3 5 2" xfId="3207" xr:uid="{00000000-0005-0000-0000-00009C0D0000}"/>
    <cellStyle name="Normal 3 2 3 5 2 2" xfId="5061" xr:uid="{00000000-0005-0000-0000-00009D0D0000}"/>
    <cellStyle name="Normal 3 2 3 5 3" xfId="3626" xr:uid="{00000000-0005-0000-0000-00009E0D0000}"/>
    <cellStyle name="Normal 3 2 3 6" xfId="1810" xr:uid="{00000000-0005-0000-0000-00009F0D0000}"/>
    <cellStyle name="Normal 3 2 3 7" xfId="2350" xr:uid="{00000000-0005-0000-0000-0000A00D0000}"/>
    <cellStyle name="Normal 3 2 3 7 2" xfId="3272" xr:uid="{00000000-0005-0000-0000-0000A10D0000}"/>
    <cellStyle name="Normal 3 2 3 7 2 2" xfId="5125" xr:uid="{00000000-0005-0000-0000-0000A20D0000}"/>
    <cellStyle name="Normal 3 2 3 7 3" xfId="4230" xr:uid="{00000000-0005-0000-0000-0000A30D0000}"/>
    <cellStyle name="Normal 3 2 3 8" xfId="3063" xr:uid="{00000000-0005-0000-0000-0000A40D0000}"/>
    <cellStyle name="Normal 3 2 3 8 2" xfId="4917" xr:uid="{00000000-0005-0000-0000-0000A50D0000}"/>
    <cellStyle name="Normal 3 2 3 9" xfId="3417" xr:uid="{00000000-0005-0000-0000-0000A60D0000}"/>
    <cellStyle name="Normal 3 2 3 9 2" xfId="5269" xr:uid="{00000000-0005-0000-0000-0000A70D0000}"/>
    <cellStyle name="Normal 3 2 4" xfId="27" xr:uid="{00000000-0005-0000-0000-0000A80D0000}"/>
    <cellStyle name="Normal 3 2 4 10" xfId="3486" xr:uid="{00000000-0005-0000-0000-0000A90D0000}"/>
    <cellStyle name="Normal 3 2 4 11" xfId="5338" xr:uid="{00000000-0005-0000-0000-0000AA0D0000}"/>
    <cellStyle name="Normal 3 2 4 2" xfId="57" xr:uid="{00000000-0005-0000-0000-0000AB0D0000}"/>
    <cellStyle name="Normal 3 2 4 2 2" xfId="201" xr:uid="{00000000-0005-0000-0000-0000AC0D0000}"/>
    <cellStyle name="Normal 3 2 4 2 2 2" xfId="3241" xr:uid="{00000000-0005-0000-0000-0000AD0D0000}"/>
    <cellStyle name="Normal 3 2 4 2 2 2 2" xfId="5095" xr:uid="{00000000-0005-0000-0000-0000AE0D0000}"/>
    <cellStyle name="Normal 3 2 4 2 2 3" xfId="3660" xr:uid="{00000000-0005-0000-0000-0000AF0D0000}"/>
    <cellStyle name="Normal 3 2 4 2 3" xfId="1813" xr:uid="{00000000-0005-0000-0000-0000B00D0000}"/>
    <cellStyle name="Normal 3 2 4 2 4" xfId="2384" xr:uid="{00000000-0005-0000-0000-0000B10D0000}"/>
    <cellStyle name="Normal 3 2 4 2 4 2" xfId="3306" xr:uid="{00000000-0005-0000-0000-0000B20D0000}"/>
    <cellStyle name="Normal 3 2 4 2 4 2 2" xfId="5159" xr:uid="{00000000-0005-0000-0000-0000B30D0000}"/>
    <cellStyle name="Normal 3 2 4 2 4 3" xfId="4264" xr:uid="{00000000-0005-0000-0000-0000B40D0000}"/>
    <cellStyle name="Normal 3 2 4 2 5" xfId="3097" xr:uid="{00000000-0005-0000-0000-0000B50D0000}"/>
    <cellStyle name="Normal 3 2 4 2 5 2" xfId="4951" xr:uid="{00000000-0005-0000-0000-0000B60D0000}"/>
    <cellStyle name="Normal 3 2 4 2 6" xfId="3451" xr:uid="{00000000-0005-0000-0000-0000B70D0000}"/>
    <cellStyle name="Normal 3 2 4 2 6 2" xfId="5303" xr:uid="{00000000-0005-0000-0000-0000B80D0000}"/>
    <cellStyle name="Normal 3 2 4 2 7" xfId="3516" xr:uid="{00000000-0005-0000-0000-0000B90D0000}"/>
    <cellStyle name="Normal 3 2 4 2 8" xfId="5368" xr:uid="{00000000-0005-0000-0000-0000BA0D0000}"/>
    <cellStyle name="Normal 3 2 4 3" xfId="109" xr:uid="{00000000-0005-0000-0000-0000BB0D0000}"/>
    <cellStyle name="Normal 3 2 4 3 2" xfId="2436" xr:uid="{00000000-0005-0000-0000-0000BC0D0000}"/>
    <cellStyle name="Normal 3 2 4 3 2 2" xfId="3358" xr:uid="{00000000-0005-0000-0000-0000BD0D0000}"/>
    <cellStyle name="Normal 3 2 4 3 2 2 2" xfId="5211" xr:uid="{00000000-0005-0000-0000-0000BE0D0000}"/>
    <cellStyle name="Normal 3 2 4 3 2 3" xfId="4316" xr:uid="{00000000-0005-0000-0000-0000BF0D0000}"/>
    <cellStyle name="Normal 3 2 4 3 3" xfId="3149" xr:uid="{00000000-0005-0000-0000-0000C00D0000}"/>
    <cellStyle name="Normal 3 2 4 3 3 2" xfId="5003" xr:uid="{00000000-0005-0000-0000-0000C10D0000}"/>
    <cellStyle name="Normal 3 2 4 3 4" xfId="3568" xr:uid="{00000000-0005-0000-0000-0000C20D0000}"/>
    <cellStyle name="Normal 3 2 4 4" xfId="135" xr:uid="{00000000-0005-0000-0000-0000C30D0000}"/>
    <cellStyle name="Normal 3 2 4 4 2" xfId="2462" xr:uid="{00000000-0005-0000-0000-0000C40D0000}"/>
    <cellStyle name="Normal 3 2 4 4 2 2" xfId="3384" xr:uid="{00000000-0005-0000-0000-0000C50D0000}"/>
    <cellStyle name="Normal 3 2 4 4 2 2 2" xfId="5237" xr:uid="{00000000-0005-0000-0000-0000C60D0000}"/>
    <cellStyle name="Normal 3 2 4 4 2 3" xfId="4342" xr:uid="{00000000-0005-0000-0000-0000C70D0000}"/>
    <cellStyle name="Normal 3 2 4 4 3" xfId="3175" xr:uid="{00000000-0005-0000-0000-0000C80D0000}"/>
    <cellStyle name="Normal 3 2 4 4 3 2" xfId="5029" xr:uid="{00000000-0005-0000-0000-0000C90D0000}"/>
    <cellStyle name="Normal 3 2 4 4 4" xfId="3594" xr:uid="{00000000-0005-0000-0000-0000CA0D0000}"/>
    <cellStyle name="Normal 3 2 4 5" xfId="171" xr:uid="{00000000-0005-0000-0000-0000CB0D0000}"/>
    <cellStyle name="Normal 3 2 4 5 2" xfId="3211" xr:uid="{00000000-0005-0000-0000-0000CC0D0000}"/>
    <cellStyle name="Normal 3 2 4 5 2 2" xfId="5065" xr:uid="{00000000-0005-0000-0000-0000CD0D0000}"/>
    <cellStyle name="Normal 3 2 4 5 3" xfId="3630" xr:uid="{00000000-0005-0000-0000-0000CE0D0000}"/>
    <cellStyle name="Normal 3 2 4 6" xfId="1812" xr:uid="{00000000-0005-0000-0000-0000CF0D0000}"/>
    <cellStyle name="Normal 3 2 4 7" xfId="2354" xr:uid="{00000000-0005-0000-0000-0000D00D0000}"/>
    <cellStyle name="Normal 3 2 4 7 2" xfId="3276" xr:uid="{00000000-0005-0000-0000-0000D10D0000}"/>
    <cellStyle name="Normal 3 2 4 7 2 2" xfId="5129" xr:uid="{00000000-0005-0000-0000-0000D20D0000}"/>
    <cellStyle name="Normal 3 2 4 7 3" xfId="4234" xr:uid="{00000000-0005-0000-0000-0000D30D0000}"/>
    <cellStyle name="Normal 3 2 4 8" xfId="3067" xr:uid="{00000000-0005-0000-0000-0000D40D0000}"/>
    <cellStyle name="Normal 3 2 4 8 2" xfId="4921" xr:uid="{00000000-0005-0000-0000-0000D50D0000}"/>
    <cellStyle name="Normal 3 2 4 9" xfId="3421" xr:uid="{00000000-0005-0000-0000-0000D60D0000}"/>
    <cellStyle name="Normal 3 2 4 9 2" xfId="5273" xr:uid="{00000000-0005-0000-0000-0000D70D0000}"/>
    <cellStyle name="Normal 3 2 5" xfId="35" xr:uid="{00000000-0005-0000-0000-0000D80D0000}"/>
    <cellStyle name="Normal 3 2 5 10" xfId="5346" xr:uid="{00000000-0005-0000-0000-0000D90D0000}"/>
    <cellStyle name="Normal 3 2 5 2" xfId="65" xr:uid="{00000000-0005-0000-0000-0000DA0D0000}"/>
    <cellStyle name="Normal 3 2 5 2 2" xfId="209" xr:uid="{00000000-0005-0000-0000-0000DB0D0000}"/>
    <cellStyle name="Normal 3 2 5 2 2 2" xfId="3249" xr:uid="{00000000-0005-0000-0000-0000DC0D0000}"/>
    <cellStyle name="Normal 3 2 5 2 2 2 2" xfId="5103" xr:uid="{00000000-0005-0000-0000-0000DD0D0000}"/>
    <cellStyle name="Normal 3 2 5 2 2 3" xfId="3668" xr:uid="{00000000-0005-0000-0000-0000DE0D0000}"/>
    <cellStyle name="Normal 3 2 5 2 3" xfId="1815" xr:uid="{00000000-0005-0000-0000-0000DF0D0000}"/>
    <cellStyle name="Normal 3 2 5 2 4" xfId="2392" xr:uid="{00000000-0005-0000-0000-0000E00D0000}"/>
    <cellStyle name="Normal 3 2 5 2 4 2" xfId="3314" xr:uid="{00000000-0005-0000-0000-0000E10D0000}"/>
    <cellStyle name="Normal 3 2 5 2 4 2 2" xfId="5167" xr:uid="{00000000-0005-0000-0000-0000E20D0000}"/>
    <cellStyle name="Normal 3 2 5 2 4 3" xfId="4272" xr:uid="{00000000-0005-0000-0000-0000E30D0000}"/>
    <cellStyle name="Normal 3 2 5 2 5" xfId="3105" xr:uid="{00000000-0005-0000-0000-0000E40D0000}"/>
    <cellStyle name="Normal 3 2 5 2 5 2" xfId="4959" xr:uid="{00000000-0005-0000-0000-0000E50D0000}"/>
    <cellStyle name="Normal 3 2 5 2 6" xfId="3459" xr:uid="{00000000-0005-0000-0000-0000E60D0000}"/>
    <cellStyle name="Normal 3 2 5 2 6 2" xfId="5311" xr:uid="{00000000-0005-0000-0000-0000E70D0000}"/>
    <cellStyle name="Normal 3 2 5 2 7" xfId="3524" xr:uid="{00000000-0005-0000-0000-0000E80D0000}"/>
    <cellStyle name="Normal 3 2 5 2 8" xfId="5376" xr:uid="{00000000-0005-0000-0000-0000E90D0000}"/>
    <cellStyle name="Normal 3 2 5 3" xfId="143" xr:uid="{00000000-0005-0000-0000-0000EA0D0000}"/>
    <cellStyle name="Normal 3 2 5 3 2" xfId="2470" xr:uid="{00000000-0005-0000-0000-0000EB0D0000}"/>
    <cellStyle name="Normal 3 2 5 3 2 2" xfId="3392" xr:uid="{00000000-0005-0000-0000-0000EC0D0000}"/>
    <cellStyle name="Normal 3 2 5 3 2 2 2" xfId="5245" xr:uid="{00000000-0005-0000-0000-0000ED0D0000}"/>
    <cellStyle name="Normal 3 2 5 3 2 3" xfId="4350" xr:uid="{00000000-0005-0000-0000-0000EE0D0000}"/>
    <cellStyle name="Normal 3 2 5 3 3" xfId="3183" xr:uid="{00000000-0005-0000-0000-0000EF0D0000}"/>
    <cellStyle name="Normal 3 2 5 3 3 2" xfId="5037" xr:uid="{00000000-0005-0000-0000-0000F00D0000}"/>
    <cellStyle name="Normal 3 2 5 3 4" xfId="3602" xr:uid="{00000000-0005-0000-0000-0000F10D0000}"/>
    <cellStyle name="Normal 3 2 5 4" xfId="179" xr:uid="{00000000-0005-0000-0000-0000F20D0000}"/>
    <cellStyle name="Normal 3 2 5 4 2" xfId="3219" xr:uid="{00000000-0005-0000-0000-0000F30D0000}"/>
    <cellStyle name="Normal 3 2 5 4 2 2" xfId="5073" xr:uid="{00000000-0005-0000-0000-0000F40D0000}"/>
    <cellStyle name="Normal 3 2 5 4 3" xfId="3638" xr:uid="{00000000-0005-0000-0000-0000F50D0000}"/>
    <cellStyle name="Normal 3 2 5 5" xfId="1814" xr:uid="{00000000-0005-0000-0000-0000F60D0000}"/>
    <cellStyle name="Normal 3 2 5 6" xfId="2362" xr:uid="{00000000-0005-0000-0000-0000F70D0000}"/>
    <cellStyle name="Normal 3 2 5 6 2" xfId="3284" xr:uid="{00000000-0005-0000-0000-0000F80D0000}"/>
    <cellStyle name="Normal 3 2 5 6 2 2" xfId="5137" xr:uid="{00000000-0005-0000-0000-0000F90D0000}"/>
    <cellStyle name="Normal 3 2 5 6 3" xfId="4242" xr:uid="{00000000-0005-0000-0000-0000FA0D0000}"/>
    <cellStyle name="Normal 3 2 5 7" xfId="3075" xr:uid="{00000000-0005-0000-0000-0000FB0D0000}"/>
    <cellStyle name="Normal 3 2 5 7 2" xfId="4929" xr:uid="{00000000-0005-0000-0000-0000FC0D0000}"/>
    <cellStyle name="Normal 3 2 5 8" xfId="3429" xr:uid="{00000000-0005-0000-0000-0000FD0D0000}"/>
    <cellStyle name="Normal 3 2 5 8 2" xfId="5281" xr:uid="{00000000-0005-0000-0000-0000FE0D0000}"/>
    <cellStyle name="Normal 3 2 5 9" xfId="3494" xr:uid="{00000000-0005-0000-0000-0000FF0D0000}"/>
    <cellStyle name="Normal 3 2 6" xfId="39" xr:uid="{00000000-0005-0000-0000-0000000E0000}"/>
    <cellStyle name="Normal 3 2 6 2" xfId="183" xr:uid="{00000000-0005-0000-0000-0000010E0000}"/>
    <cellStyle name="Normal 3 2 6 2 2" xfId="3223" xr:uid="{00000000-0005-0000-0000-0000020E0000}"/>
    <cellStyle name="Normal 3 2 6 2 2 2" xfId="5077" xr:uid="{00000000-0005-0000-0000-0000030E0000}"/>
    <cellStyle name="Normal 3 2 6 2 3" xfId="3642" xr:uid="{00000000-0005-0000-0000-0000040E0000}"/>
    <cellStyle name="Normal 3 2 6 3" xfId="1816" xr:uid="{00000000-0005-0000-0000-0000050E0000}"/>
    <cellStyle name="Normal 3 2 6 4" xfId="2366" xr:uid="{00000000-0005-0000-0000-0000060E0000}"/>
    <cellStyle name="Normal 3 2 6 4 2" xfId="3288" xr:uid="{00000000-0005-0000-0000-0000070E0000}"/>
    <cellStyle name="Normal 3 2 6 4 2 2" xfId="5141" xr:uid="{00000000-0005-0000-0000-0000080E0000}"/>
    <cellStyle name="Normal 3 2 6 4 3" xfId="4246" xr:uid="{00000000-0005-0000-0000-0000090E0000}"/>
    <cellStyle name="Normal 3 2 6 5" xfId="3079" xr:uid="{00000000-0005-0000-0000-00000A0E0000}"/>
    <cellStyle name="Normal 3 2 6 5 2" xfId="4933" xr:uid="{00000000-0005-0000-0000-00000B0E0000}"/>
    <cellStyle name="Normal 3 2 6 6" xfId="3433" xr:uid="{00000000-0005-0000-0000-00000C0E0000}"/>
    <cellStyle name="Normal 3 2 6 6 2" xfId="5285" xr:uid="{00000000-0005-0000-0000-00000D0E0000}"/>
    <cellStyle name="Normal 3 2 6 7" xfId="3498" xr:uid="{00000000-0005-0000-0000-00000E0E0000}"/>
    <cellStyle name="Normal 3 2 6 8" xfId="5350" xr:uid="{00000000-0005-0000-0000-00000F0E0000}"/>
    <cellStyle name="Normal 3 2 7" xfId="71" xr:uid="{00000000-0005-0000-0000-0000100E0000}"/>
    <cellStyle name="Normal 3 2 7 2" xfId="2398" xr:uid="{00000000-0005-0000-0000-0000110E0000}"/>
    <cellStyle name="Normal 3 2 7 2 2" xfId="3320" xr:uid="{00000000-0005-0000-0000-0000120E0000}"/>
    <cellStyle name="Normal 3 2 7 2 2 2" xfId="5173" xr:uid="{00000000-0005-0000-0000-0000130E0000}"/>
    <cellStyle name="Normal 3 2 7 2 3" xfId="4278" xr:uid="{00000000-0005-0000-0000-0000140E0000}"/>
    <cellStyle name="Normal 3 2 7 3" xfId="3111" xr:uid="{00000000-0005-0000-0000-0000150E0000}"/>
    <cellStyle name="Normal 3 2 7 3 2" xfId="4965" xr:uid="{00000000-0005-0000-0000-0000160E0000}"/>
    <cellStyle name="Normal 3 2 7 4" xfId="3530" xr:uid="{00000000-0005-0000-0000-0000170E0000}"/>
    <cellStyle name="Normal 3 2 7 5" xfId="5382" xr:uid="{00000000-0005-0000-0000-0000180E0000}"/>
    <cellStyle name="Normal 3 2 8" xfId="79" xr:uid="{00000000-0005-0000-0000-0000190E0000}"/>
    <cellStyle name="Normal 3 2 8 2" xfId="2406" xr:uid="{00000000-0005-0000-0000-00001A0E0000}"/>
    <cellStyle name="Normal 3 2 8 2 2" xfId="3328" xr:uid="{00000000-0005-0000-0000-00001B0E0000}"/>
    <cellStyle name="Normal 3 2 8 2 2 2" xfId="5181" xr:uid="{00000000-0005-0000-0000-00001C0E0000}"/>
    <cellStyle name="Normal 3 2 8 2 3" xfId="4286" xr:uid="{00000000-0005-0000-0000-00001D0E0000}"/>
    <cellStyle name="Normal 3 2 8 3" xfId="3119" xr:uid="{00000000-0005-0000-0000-00001E0E0000}"/>
    <cellStyle name="Normal 3 2 8 3 2" xfId="4973" xr:uid="{00000000-0005-0000-0000-00001F0E0000}"/>
    <cellStyle name="Normal 3 2 8 4" xfId="3538" xr:uid="{00000000-0005-0000-0000-0000200E0000}"/>
    <cellStyle name="Normal 3 2 9" xfId="91" xr:uid="{00000000-0005-0000-0000-0000210E0000}"/>
    <cellStyle name="Normal 3 2 9 2" xfId="2418" xr:uid="{00000000-0005-0000-0000-0000220E0000}"/>
    <cellStyle name="Normal 3 2 9 2 2" xfId="3340" xr:uid="{00000000-0005-0000-0000-0000230E0000}"/>
    <cellStyle name="Normal 3 2 9 2 2 2" xfId="5193" xr:uid="{00000000-0005-0000-0000-0000240E0000}"/>
    <cellStyle name="Normal 3 2 9 2 3" xfId="4298" xr:uid="{00000000-0005-0000-0000-0000250E0000}"/>
    <cellStyle name="Normal 3 2 9 3" xfId="3131" xr:uid="{00000000-0005-0000-0000-0000260E0000}"/>
    <cellStyle name="Normal 3 2 9 3 2" xfId="4985" xr:uid="{00000000-0005-0000-0000-0000270E0000}"/>
    <cellStyle name="Normal 3 2 9 4" xfId="3550" xr:uid="{00000000-0005-0000-0000-0000280E0000}"/>
    <cellStyle name="Normal 3 20" xfId="147" xr:uid="{00000000-0005-0000-0000-0000290E0000}"/>
    <cellStyle name="Normal 3 20 2" xfId="3187" xr:uid="{00000000-0005-0000-0000-00002A0E0000}"/>
    <cellStyle name="Normal 3 20 2 2" xfId="5041" xr:uid="{00000000-0005-0000-0000-00002B0E0000}"/>
    <cellStyle name="Normal 3 20 3" xfId="3606" xr:uid="{00000000-0005-0000-0000-00002C0E0000}"/>
    <cellStyle name="Normal 3 21" xfId="151" xr:uid="{00000000-0005-0000-0000-00002D0E0000}"/>
    <cellStyle name="Normal 3 21 2" xfId="3191" xr:uid="{00000000-0005-0000-0000-00002E0E0000}"/>
    <cellStyle name="Normal 3 21 2 2" xfId="5045" xr:uid="{00000000-0005-0000-0000-00002F0E0000}"/>
    <cellStyle name="Normal 3 21 3" xfId="3610" xr:uid="{00000000-0005-0000-0000-0000300E0000}"/>
    <cellStyle name="Normal 3 22" xfId="1806" xr:uid="{00000000-0005-0000-0000-0000310E0000}"/>
    <cellStyle name="Normal 3 23" xfId="2334" xr:uid="{00000000-0005-0000-0000-0000320E0000}"/>
    <cellStyle name="Normal 3 23 2" xfId="3256" xr:uid="{00000000-0005-0000-0000-0000330E0000}"/>
    <cellStyle name="Normal 3 23 2 2" xfId="5109" xr:uid="{00000000-0005-0000-0000-0000340E0000}"/>
    <cellStyle name="Normal 3 23 3" xfId="4214" xr:uid="{00000000-0005-0000-0000-0000350E0000}"/>
    <cellStyle name="Normal 3 24" xfId="2475" xr:uid="{00000000-0005-0000-0000-0000360E0000}"/>
    <cellStyle name="Normal 3 24 2" xfId="3396" xr:uid="{00000000-0005-0000-0000-0000370E0000}"/>
    <cellStyle name="Normal 3 24 2 2" xfId="5249" xr:uid="{00000000-0005-0000-0000-0000380E0000}"/>
    <cellStyle name="Normal 3 24 3" xfId="4354" xr:uid="{00000000-0005-0000-0000-0000390E0000}"/>
    <cellStyle name="Normal 3 25" xfId="2901" xr:uid="{00000000-0005-0000-0000-00003A0E0000}"/>
    <cellStyle name="Normal 3 25 2" xfId="4778" xr:uid="{00000000-0005-0000-0000-00003B0E0000}"/>
    <cellStyle name="Normal 3 26" xfId="3046" xr:uid="{00000000-0005-0000-0000-00003C0E0000}"/>
    <cellStyle name="Normal 3 26 2" xfId="4901" xr:uid="{00000000-0005-0000-0000-00003D0E0000}"/>
    <cellStyle name="Normal 3 27" xfId="3401" xr:uid="{00000000-0005-0000-0000-00003E0E0000}"/>
    <cellStyle name="Normal 3 27 2" xfId="5253" xr:uid="{00000000-0005-0000-0000-00003F0E0000}"/>
    <cellStyle name="Normal 3 28" xfId="3466" xr:uid="{00000000-0005-0000-0000-0000400E0000}"/>
    <cellStyle name="Normal 3 29" xfId="5318" xr:uid="{00000000-0005-0000-0000-0000410E0000}"/>
    <cellStyle name="Normal 3 3" xfId="11" xr:uid="{00000000-0005-0000-0000-0000420E0000}"/>
    <cellStyle name="Normal 3 3 10" xfId="3405" xr:uid="{00000000-0005-0000-0000-0000430E0000}"/>
    <cellStyle name="Normal 3 3 10 2" xfId="5257" xr:uid="{00000000-0005-0000-0000-0000440E0000}"/>
    <cellStyle name="Normal 3 3 11" xfId="3470" xr:uid="{00000000-0005-0000-0000-0000450E0000}"/>
    <cellStyle name="Normal 3 3 12" xfId="5322" xr:uid="{00000000-0005-0000-0000-0000460E0000}"/>
    <cellStyle name="Normal 3 3 2" xfId="41" xr:uid="{00000000-0005-0000-0000-0000470E0000}"/>
    <cellStyle name="Normal 3 3 2 2" xfId="185" xr:uid="{00000000-0005-0000-0000-0000480E0000}"/>
    <cellStyle name="Normal 3 3 2 2 2" xfId="3225" xr:uid="{00000000-0005-0000-0000-0000490E0000}"/>
    <cellStyle name="Normal 3 3 2 2 2 2" xfId="5079" xr:uid="{00000000-0005-0000-0000-00004A0E0000}"/>
    <cellStyle name="Normal 3 3 2 2 3" xfId="3644" xr:uid="{00000000-0005-0000-0000-00004B0E0000}"/>
    <cellStyle name="Normal 3 3 2 3" xfId="1818" xr:uid="{00000000-0005-0000-0000-00004C0E0000}"/>
    <cellStyle name="Normal 3 3 2 4" xfId="2368" xr:uid="{00000000-0005-0000-0000-00004D0E0000}"/>
    <cellStyle name="Normal 3 3 2 4 2" xfId="3290" xr:uid="{00000000-0005-0000-0000-00004E0E0000}"/>
    <cellStyle name="Normal 3 3 2 4 2 2" xfId="5143" xr:uid="{00000000-0005-0000-0000-00004F0E0000}"/>
    <cellStyle name="Normal 3 3 2 4 3" xfId="4248" xr:uid="{00000000-0005-0000-0000-0000500E0000}"/>
    <cellStyle name="Normal 3 3 2 5" xfId="3081" xr:uid="{00000000-0005-0000-0000-0000510E0000}"/>
    <cellStyle name="Normal 3 3 2 5 2" xfId="4935" xr:uid="{00000000-0005-0000-0000-0000520E0000}"/>
    <cellStyle name="Normal 3 3 2 6" xfId="3435" xr:uid="{00000000-0005-0000-0000-0000530E0000}"/>
    <cellStyle name="Normal 3 3 2 6 2" xfId="5287" xr:uid="{00000000-0005-0000-0000-0000540E0000}"/>
    <cellStyle name="Normal 3 3 2 7" xfId="3500" xr:uid="{00000000-0005-0000-0000-0000550E0000}"/>
    <cellStyle name="Normal 3 3 2 8" xfId="5352" xr:uid="{00000000-0005-0000-0000-0000560E0000}"/>
    <cellStyle name="Normal 3 3 3" xfId="81" xr:uid="{00000000-0005-0000-0000-0000570E0000}"/>
    <cellStyle name="Normal 3 3 3 2" xfId="2408" xr:uid="{00000000-0005-0000-0000-0000580E0000}"/>
    <cellStyle name="Normal 3 3 3 2 2" xfId="3330" xr:uid="{00000000-0005-0000-0000-0000590E0000}"/>
    <cellStyle name="Normal 3 3 3 2 2 2" xfId="5183" xr:uid="{00000000-0005-0000-0000-00005A0E0000}"/>
    <cellStyle name="Normal 3 3 3 2 3" xfId="4288" xr:uid="{00000000-0005-0000-0000-00005B0E0000}"/>
    <cellStyle name="Normal 3 3 3 3" xfId="3121" xr:uid="{00000000-0005-0000-0000-00005C0E0000}"/>
    <cellStyle name="Normal 3 3 3 3 2" xfId="4975" xr:uid="{00000000-0005-0000-0000-00005D0E0000}"/>
    <cellStyle name="Normal 3 3 3 4" xfId="3540" xr:uid="{00000000-0005-0000-0000-00005E0E0000}"/>
    <cellStyle name="Normal 3 3 4" xfId="93" xr:uid="{00000000-0005-0000-0000-00005F0E0000}"/>
    <cellStyle name="Normal 3 3 4 2" xfId="2420" xr:uid="{00000000-0005-0000-0000-0000600E0000}"/>
    <cellStyle name="Normal 3 3 4 2 2" xfId="3342" xr:uid="{00000000-0005-0000-0000-0000610E0000}"/>
    <cellStyle name="Normal 3 3 4 2 2 2" xfId="5195" xr:uid="{00000000-0005-0000-0000-0000620E0000}"/>
    <cellStyle name="Normal 3 3 4 2 3" xfId="4300" xr:uid="{00000000-0005-0000-0000-0000630E0000}"/>
    <cellStyle name="Normal 3 3 4 3" xfId="3133" xr:uid="{00000000-0005-0000-0000-0000640E0000}"/>
    <cellStyle name="Normal 3 3 4 3 2" xfId="4987" xr:uid="{00000000-0005-0000-0000-0000650E0000}"/>
    <cellStyle name="Normal 3 3 4 4" xfId="3552" xr:uid="{00000000-0005-0000-0000-0000660E0000}"/>
    <cellStyle name="Normal 3 3 5" xfId="119" xr:uid="{00000000-0005-0000-0000-0000670E0000}"/>
    <cellStyle name="Normal 3 3 5 2" xfId="2446" xr:uid="{00000000-0005-0000-0000-0000680E0000}"/>
    <cellStyle name="Normal 3 3 5 2 2" xfId="3368" xr:uid="{00000000-0005-0000-0000-0000690E0000}"/>
    <cellStyle name="Normal 3 3 5 2 2 2" xfId="5221" xr:uid="{00000000-0005-0000-0000-00006A0E0000}"/>
    <cellStyle name="Normal 3 3 5 2 3" xfId="4326" xr:uid="{00000000-0005-0000-0000-00006B0E0000}"/>
    <cellStyle name="Normal 3 3 5 3" xfId="3159" xr:uid="{00000000-0005-0000-0000-00006C0E0000}"/>
    <cellStyle name="Normal 3 3 5 3 2" xfId="5013" xr:uid="{00000000-0005-0000-0000-00006D0E0000}"/>
    <cellStyle name="Normal 3 3 5 4" xfId="3578" xr:uid="{00000000-0005-0000-0000-00006E0E0000}"/>
    <cellStyle name="Normal 3 3 6" xfId="155" xr:uid="{00000000-0005-0000-0000-00006F0E0000}"/>
    <cellStyle name="Normal 3 3 6 2" xfId="3195" xr:uid="{00000000-0005-0000-0000-0000700E0000}"/>
    <cellStyle name="Normal 3 3 6 2 2" xfId="5049" xr:uid="{00000000-0005-0000-0000-0000710E0000}"/>
    <cellStyle name="Normal 3 3 6 3" xfId="3614" xr:uid="{00000000-0005-0000-0000-0000720E0000}"/>
    <cellStyle name="Normal 3 3 7" xfId="1817" xr:uid="{00000000-0005-0000-0000-0000730E0000}"/>
    <cellStyle name="Normal 3 3 8" xfId="2338" xr:uid="{00000000-0005-0000-0000-0000740E0000}"/>
    <cellStyle name="Normal 3 3 8 2" xfId="3260" xr:uid="{00000000-0005-0000-0000-0000750E0000}"/>
    <cellStyle name="Normal 3 3 8 2 2" xfId="5113" xr:uid="{00000000-0005-0000-0000-0000760E0000}"/>
    <cellStyle name="Normal 3 3 8 3" xfId="4218" xr:uid="{00000000-0005-0000-0000-0000770E0000}"/>
    <cellStyle name="Normal 3 3 9" xfId="3051" xr:uid="{00000000-0005-0000-0000-0000780E0000}"/>
    <cellStyle name="Normal 3 3 9 2" xfId="4905" xr:uid="{00000000-0005-0000-0000-0000790E0000}"/>
    <cellStyle name="Normal 3 30" xfId="5386" xr:uid="{00000000-0005-0000-0000-00007A0E0000}"/>
    <cellStyle name="Normal 3 4" xfId="13" xr:uid="{00000000-0005-0000-0000-00007B0E0000}"/>
    <cellStyle name="Normal 3 4 10" xfId="3407" xr:uid="{00000000-0005-0000-0000-00007C0E0000}"/>
    <cellStyle name="Normal 3 4 10 2" xfId="5259" xr:uid="{00000000-0005-0000-0000-00007D0E0000}"/>
    <cellStyle name="Normal 3 4 11" xfId="3472" xr:uid="{00000000-0005-0000-0000-00007E0E0000}"/>
    <cellStyle name="Normal 3 4 12" xfId="5324" xr:uid="{00000000-0005-0000-0000-00007F0E0000}"/>
    <cellStyle name="Normal 3 4 2" xfId="43" xr:uid="{00000000-0005-0000-0000-0000800E0000}"/>
    <cellStyle name="Normal 3 4 2 2" xfId="187" xr:uid="{00000000-0005-0000-0000-0000810E0000}"/>
    <cellStyle name="Normal 3 4 2 2 2" xfId="3227" xr:uid="{00000000-0005-0000-0000-0000820E0000}"/>
    <cellStyle name="Normal 3 4 2 2 2 2" xfId="5081" xr:uid="{00000000-0005-0000-0000-0000830E0000}"/>
    <cellStyle name="Normal 3 4 2 2 3" xfId="3646" xr:uid="{00000000-0005-0000-0000-0000840E0000}"/>
    <cellStyle name="Normal 3 4 2 3" xfId="1820" xr:uid="{00000000-0005-0000-0000-0000850E0000}"/>
    <cellStyle name="Normal 3 4 2 4" xfId="2370" xr:uid="{00000000-0005-0000-0000-0000860E0000}"/>
    <cellStyle name="Normal 3 4 2 4 2" xfId="3292" xr:uid="{00000000-0005-0000-0000-0000870E0000}"/>
    <cellStyle name="Normal 3 4 2 4 2 2" xfId="5145" xr:uid="{00000000-0005-0000-0000-0000880E0000}"/>
    <cellStyle name="Normal 3 4 2 4 3" xfId="4250" xr:uid="{00000000-0005-0000-0000-0000890E0000}"/>
    <cellStyle name="Normal 3 4 2 5" xfId="3083" xr:uid="{00000000-0005-0000-0000-00008A0E0000}"/>
    <cellStyle name="Normal 3 4 2 5 2" xfId="4937" xr:uid="{00000000-0005-0000-0000-00008B0E0000}"/>
    <cellStyle name="Normal 3 4 2 6" xfId="3437" xr:uid="{00000000-0005-0000-0000-00008C0E0000}"/>
    <cellStyle name="Normal 3 4 2 6 2" xfId="5289" xr:uid="{00000000-0005-0000-0000-00008D0E0000}"/>
    <cellStyle name="Normal 3 4 2 7" xfId="3502" xr:uid="{00000000-0005-0000-0000-00008E0E0000}"/>
    <cellStyle name="Normal 3 4 2 8" xfId="5354" xr:uid="{00000000-0005-0000-0000-00008F0E0000}"/>
    <cellStyle name="Normal 3 4 3" xfId="83" xr:uid="{00000000-0005-0000-0000-0000900E0000}"/>
    <cellStyle name="Normal 3 4 3 2" xfId="2410" xr:uid="{00000000-0005-0000-0000-0000910E0000}"/>
    <cellStyle name="Normal 3 4 3 2 2" xfId="3332" xr:uid="{00000000-0005-0000-0000-0000920E0000}"/>
    <cellStyle name="Normal 3 4 3 2 2 2" xfId="5185" xr:uid="{00000000-0005-0000-0000-0000930E0000}"/>
    <cellStyle name="Normal 3 4 3 2 3" xfId="4290" xr:uid="{00000000-0005-0000-0000-0000940E0000}"/>
    <cellStyle name="Normal 3 4 3 3" xfId="3123" xr:uid="{00000000-0005-0000-0000-0000950E0000}"/>
    <cellStyle name="Normal 3 4 3 3 2" xfId="4977" xr:uid="{00000000-0005-0000-0000-0000960E0000}"/>
    <cellStyle name="Normal 3 4 3 4" xfId="3542" xr:uid="{00000000-0005-0000-0000-0000970E0000}"/>
    <cellStyle name="Normal 3 4 4" xfId="95" xr:uid="{00000000-0005-0000-0000-0000980E0000}"/>
    <cellStyle name="Normal 3 4 4 2" xfId="2422" xr:uid="{00000000-0005-0000-0000-0000990E0000}"/>
    <cellStyle name="Normal 3 4 4 2 2" xfId="3344" xr:uid="{00000000-0005-0000-0000-00009A0E0000}"/>
    <cellStyle name="Normal 3 4 4 2 2 2" xfId="5197" xr:uid="{00000000-0005-0000-0000-00009B0E0000}"/>
    <cellStyle name="Normal 3 4 4 2 3" xfId="4302" xr:uid="{00000000-0005-0000-0000-00009C0E0000}"/>
    <cellStyle name="Normal 3 4 4 3" xfId="3135" xr:uid="{00000000-0005-0000-0000-00009D0E0000}"/>
    <cellStyle name="Normal 3 4 4 3 2" xfId="4989" xr:uid="{00000000-0005-0000-0000-00009E0E0000}"/>
    <cellStyle name="Normal 3 4 4 4" xfId="3554" xr:uid="{00000000-0005-0000-0000-00009F0E0000}"/>
    <cellStyle name="Normal 3 4 5" xfId="121" xr:uid="{00000000-0005-0000-0000-0000A00E0000}"/>
    <cellStyle name="Normal 3 4 5 2" xfId="2448" xr:uid="{00000000-0005-0000-0000-0000A10E0000}"/>
    <cellStyle name="Normal 3 4 5 2 2" xfId="3370" xr:uid="{00000000-0005-0000-0000-0000A20E0000}"/>
    <cellStyle name="Normal 3 4 5 2 2 2" xfId="5223" xr:uid="{00000000-0005-0000-0000-0000A30E0000}"/>
    <cellStyle name="Normal 3 4 5 2 3" xfId="4328" xr:uid="{00000000-0005-0000-0000-0000A40E0000}"/>
    <cellStyle name="Normal 3 4 5 3" xfId="3161" xr:uid="{00000000-0005-0000-0000-0000A50E0000}"/>
    <cellStyle name="Normal 3 4 5 3 2" xfId="5015" xr:uid="{00000000-0005-0000-0000-0000A60E0000}"/>
    <cellStyle name="Normal 3 4 5 4" xfId="3580" xr:uid="{00000000-0005-0000-0000-0000A70E0000}"/>
    <cellStyle name="Normal 3 4 6" xfId="157" xr:uid="{00000000-0005-0000-0000-0000A80E0000}"/>
    <cellStyle name="Normal 3 4 6 2" xfId="3197" xr:uid="{00000000-0005-0000-0000-0000A90E0000}"/>
    <cellStyle name="Normal 3 4 6 2 2" xfId="5051" xr:uid="{00000000-0005-0000-0000-0000AA0E0000}"/>
    <cellStyle name="Normal 3 4 6 3" xfId="3616" xr:uid="{00000000-0005-0000-0000-0000AB0E0000}"/>
    <cellStyle name="Normal 3 4 7" xfId="1819" xr:uid="{00000000-0005-0000-0000-0000AC0E0000}"/>
    <cellStyle name="Normal 3 4 8" xfId="2340" xr:uid="{00000000-0005-0000-0000-0000AD0E0000}"/>
    <cellStyle name="Normal 3 4 8 2" xfId="3262" xr:uid="{00000000-0005-0000-0000-0000AE0E0000}"/>
    <cellStyle name="Normal 3 4 8 2 2" xfId="5115" xr:uid="{00000000-0005-0000-0000-0000AF0E0000}"/>
    <cellStyle name="Normal 3 4 8 3" xfId="4220" xr:uid="{00000000-0005-0000-0000-0000B00E0000}"/>
    <cellStyle name="Normal 3 4 9" xfId="3053" xr:uid="{00000000-0005-0000-0000-0000B10E0000}"/>
    <cellStyle name="Normal 3 4 9 2" xfId="4907" xr:uid="{00000000-0005-0000-0000-0000B20E0000}"/>
    <cellStyle name="Normal 3 5" xfId="15" xr:uid="{00000000-0005-0000-0000-0000B30E0000}"/>
    <cellStyle name="Normal 3 5 10" xfId="3409" xr:uid="{00000000-0005-0000-0000-0000B40E0000}"/>
    <cellStyle name="Normal 3 5 10 2" xfId="5261" xr:uid="{00000000-0005-0000-0000-0000B50E0000}"/>
    <cellStyle name="Normal 3 5 11" xfId="3474" xr:uid="{00000000-0005-0000-0000-0000B60E0000}"/>
    <cellStyle name="Normal 3 5 12" xfId="5326" xr:uid="{00000000-0005-0000-0000-0000B70E0000}"/>
    <cellStyle name="Normal 3 5 2" xfId="45" xr:uid="{00000000-0005-0000-0000-0000B80E0000}"/>
    <cellStyle name="Normal 3 5 2 2" xfId="189" xr:uid="{00000000-0005-0000-0000-0000B90E0000}"/>
    <cellStyle name="Normal 3 5 2 2 2" xfId="3229" xr:uid="{00000000-0005-0000-0000-0000BA0E0000}"/>
    <cellStyle name="Normal 3 5 2 2 2 2" xfId="5083" xr:uid="{00000000-0005-0000-0000-0000BB0E0000}"/>
    <cellStyle name="Normal 3 5 2 2 3" xfId="3648" xr:uid="{00000000-0005-0000-0000-0000BC0E0000}"/>
    <cellStyle name="Normal 3 5 2 3" xfId="1822" xr:uid="{00000000-0005-0000-0000-0000BD0E0000}"/>
    <cellStyle name="Normal 3 5 2 4" xfId="2372" xr:uid="{00000000-0005-0000-0000-0000BE0E0000}"/>
    <cellStyle name="Normal 3 5 2 4 2" xfId="3294" xr:uid="{00000000-0005-0000-0000-0000BF0E0000}"/>
    <cellStyle name="Normal 3 5 2 4 2 2" xfId="5147" xr:uid="{00000000-0005-0000-0000-0000C00E0000}"/>
    <cellStyle name="Normal 3 5 2 4 3" xfId="4252" xr:uid="{00000000-0005-0000-0000-0000C10E0000}"/>
    <cellStyle name="Normal 3 5 2 5" xfId="3085" xr:uid="{00000000-0005-0000-0000-0000C20E0000}"/>
    <cellStyle name="Normal 3 5 2 5 2" xfId="4939" xr:uid="{00000000-0005-0000-0000-0000C30E0000}"/>
    <cellStyle name="Normal 3 5 2 6" xfId="3439" xr:uid="{00000000-0005-0000-0000-0000C40E0000}"/>
    <cellStyle name="Normal 3 5 2 6 2" xfId="5291" xr:uid="{00000000-0005-0000-0000-0000C50E0000}"/>
    <cellStyle name="Normal 3 5 2 7" xfId="3504" xr:uid="{00000000-0005-0000-0000-0000C60E0000}"/>
    <cellStyle name="Normal 3 5 2 8" xfId="5356" xr:uid="{00000000-0005-0000-0000-0000C70E0000}"/>
    <cellStyle name="Normal 3 5 3" xfId="85" xr:uid="{00000000-0005-0000-0000-0000C80E0000}"/>
    <cellStyle name="Normal 3 5 3 2" xfId="2412" xr:uid="{00000000-0005-0000-0000-0000C90E0000}"/>
    <cellStyle name="Normal 3 5 3 2 2" xfId="3334" xr:uid="{00000000-0005-0000-0000-0000CA0E0000}"/>
    <cellStyle name="Normal 3 5 3 2 2 2" xfId="5187" xr:uid="{00000000-0005-0000-0000-0000CB0E0000}"/>
    <cellStyle name="Normal 3 5 3 2 3" xfId="4292" xr:uid="{00000000-0005-0000-0000-0000CC0E0000}"/>
    <cellStyle name="Normal 3 5 3 3" xfId="3125" xr:uid="{00000000-0005-0000-0000-0000CD0E0000}"/>
    <cellStyle name="Normal 3 5 3 3 2" xfId="4979" xr:uid="{00000000-0005-0000-0000-0000CE0E0000}"/>
    <cellStyle name="Normal 3 5 3 4" xfId="3544" xr:uid="{00000000-0005-0000-0000-0000CF0E0000}"/>
    <cellStyle name="Normal 3 5 4" xfId="97" xr:uid="{00000000-0005-0000-0000-0000D00E0000}"/>
    <cellStyle name="Normal 3 5 4 2" xfId="2424" xr:uid="{00000000-0005-0000-0000-0000D10E0000}"/>
    <cellStyle name="Normal 3 5 4 2 2" xfId="3346" xr:uid="{00000000-0005-0000-0000-0000D20E0000}"/>
    <cellStyle name="Normal 3 5 4 2 2 2" xfId="5199" xr:uid="{00000000-0005-0000-0000-0000D30E0000}"/>
    <cellStyle name="Normal 3 5 4 2 3" xfId="4304" xr:uid="{00000000-0005-0000-0000-0000D40E0000}"/>
    <cellStyle name="Normal 3 5 4 3" xfId="3137" xr:uid="{00000000-0005-0000-0000-0000D50E0000}"/>
    <cellStyle name="Normal 3 5 4 3 2" xfId="4991" xr:uid="{00000000-0005-0000-0000-0000D60E0000}"/>
    <cellStyle name="Normal 3 5 4 4" xfId="3556" xr:uid="{00000000-0005-0000-0000-0000D70E0000}"/>
    <cellStyle name="Normal 3 5 5" xfId="123" xr:uid="{00000000-0005-0000-0000-0000D80E0000}"/>
    <cellStyle name="Normal 3 5 5 2" xfId="2450" xr:uid="{00000000-0005-0000-0000-0000D90E0000}"/>
    <cellStyle name="Normal 3 5 5 2 2" xfId="3372" xr:uid="{00000000-0005-0000-0000-0000DA0E0000}"/>
    <cellStyle name="Normal 3 5 5 2 2 2" xfId="5225" xr:uid="{00000000-0005-0000-0000-0000DB0E0000}"/>
    <cellStyle name="Normal 3 5 5 2 3" xfId="4330" xr:uid="{00000000-0005-0000-0000-0000DC0E0000}"/>
    <cellStyle name="Normal 3 5 5 3" xfId="3163" xr:uid="{00000000-0005-0000-0000-0000DD0E0000}"/>
    <cellStyle name="Normal 3 5 5 3 2" xfId="5017" xr:uid="{00000000-0005-0000-0000-0000DE0E0000}"/>
    <cellStyle name="Normal 3 5 5 4" xfId="3582" xr:uid="{00000000-0005-0000-0000-0000DF0E0000}"/>
    <cellStyle name="Normal 3 5 6" xfId="159" xr:uid="{00000000-0005-0000-0000-0000E00E0000}"/>
    <cellStyle name="Normal 3 5 6 2" xfId="3199" xr:uid="{00000000-0005-0000-0000-0000E10E0000}"/>
    <cellStyle name="Normal 3 5 6 2 2" xfId="5053" xr:uid="{00000000-0005-0000-0000-0000E20E0000}"/>
    <cellStyle name="Normal 3 5 6 3" xfId="3618" xr:uid="{00000000-0005-0000-0000-0000E30E0000}"/>
    <cellStyle name="Normal 3 5 7" xfId="1821" xr:uid="{00000000-0005-0000-0000-0000E40E0000}"/>
    <cellStyle name="Normal 3 5 8" xfId="2342" xr:uid="{00000000-0005-0000-0000-0000E50E0000}"/>
    <cellStyle name="Normal 3 5 8 2" xfId="3264" xr:uid="{00000000-0005-0000-0000-0000E60E0000}"/>
    <cellStyle name="Normal 3 5 8 2 2" xfId="5117" xr:uid="{00000000-0005-0000-0000-0000E70E0000}"/>
    <cellStyle name="Normal 3 5 8 3" xfId="4222" xr:uid="{00000000-0005-0000-0000-0000E80E0000}"/>
    <cellStyle name="Normal 3 5 9" xfId="3055" xr:uid="{00000000-0005-0000-0000-0000E90E0000}"/>
    <cellStyle name="Normal 3 5 9 2" xfId="4909" xr:uid="{00000000-0005-0000-0000-0000EA0E0000}"/>
    <cellStyle name="Normal 3 6" xfId="19" xr:uid="{00000000-0005-0000-0000-0000EB0E0000}"/>
    <cellStyle name="Normal 3 6 10" xfId="3478" xr:uid="{00000000-0005-0000-0000-0000EC0E0000}"/>
    <cellStyle name="Normal 3 6 11" xfId="5330" xr:uid="{00000000-0005-0000-0000-0000ED0E0000}"/>
    <cellStyle name="Normal 3 6 2" xfId="49" xr:uid="{00000000-0005-0000-0000-0000EE0E0000}"/>
    <cellStyle name="Normal 3 6 2 2" xfId="193" xr:uid="{00000000-0005-0000-0000-0000EF0E0000}"/>
    <cellStyle name="Normal 3 6 2 2 2" xfId="3233" xr:uid="{00000000-0005-0000-0000-0000F00E0000}"/>
    <cellStyle name="Normal 3 6 2 2 2 2" xfId="5087" xr:uid="{00000000-0005-0000-0000-0000F10E0000}"/>
    <cellStyle name="Normal 3 6 2 2 3" xfId="3652" xr:uid="{00000000-0005-0000-0000-0000F20E0000}"/>
    <cellStyle name="Normal 3 6 2 3" xfId="1824" xr:uid="{00000000-0005-0000-0000-0000F30E0000}"/>
    <cellStyle name="Normal 3 6 2 4" xfId="2376" xr:uid="{00000000-0005-0000-0000-0000F40E0000}"/>
    <cellStyle name="Normal 3 6 2 4 2" xfId="3298" xr:uid="{00000000-0005-0000-0000-0000F50E0000}"/>
    <cellStyle name="Normal 3 6 2 4 2 2" xfId="5151" xr:uid="{00000000-0005-0000-0000-0000F60E0000}"/>
    <cellStyle name="Normal 3 6 2 4 3" xfId="4256" xr:uid="{00000000-0005-0000-0000-0000F70E0000}"/>
    <cellStyle name="Normal 3 6 2 5" xfId="3089" xr:uid="{00000000-0005-0000-0000-0000F80E0000}"/>
    <cellStyle name="Normal 3 6 2 5 2" xfId="4943" xr:uid="{00000000-0005-0000-0000-0000F90E0000}"/>
    <cellStyle name="Normal 3 6 2 6" xfId="3443" xr:uid="{00000000-0005-0000-0000-0000FA0E0000}"/>
    <cellStyle name="Normal 3 6 2 6 2" xfId="5295" xr:uid="{00000000-0005-0000-0000-0000FB0E0000}"/>
    <cellStyle name="Normal 3 6 2 7" xfId="3508" xr:uid="{00000000-0005-0000-0000-0000FC0E0000}"/>
    <cellStyle name="Normal 3 6 2 8" xfId="5360" xr:uid="{00000000-0005-0000-0000-0000FD0E0000}"/>
    <cellStyle name="Normal 3 6 3" xfId="101" xr:uid="{00000000-0005-0000-0000-0000FE0E0000}"/>
    <cellStyle name="Normal 3 6 3 2" xfId="2428" xr:uid="{00000000-0005-0000-0000-0000FF0E0000}"/>
    <cellStyle name="Normal 3 6 3 2 2" xfId="3350" xr:uid="{00000000-0005-0000-0000-0000000F0000}"/>
    <cellStyle name="Normal 3 6 3 2 2 2" xfId="5203" xr:uid="{00000000-0005-0000-0000-0000010F0000}"/>
    <cellStyle name="Normal 3 6 3 2 3" xfId="4308" xr:uid="{00000000-0005-0000-0000-0000020F0000}"/>
    <cellStyle name="Normal 3 6 3 3" xfId="3141" xr:uid="{00000000-0005-0000-0000-0000030F0000}"/>
    <cellStyle name="Normal 3 6 3 3 2" xfId="4995" xr:uid="{00000000-0005-0000-0000-0000040F0000}"/>
    <cellStyle name="Normal 3 6 3 4" xfId="3560" xr:uid="{00000000-0005-0000-0000-0000050F0000}"/>
    <cellStyle name="Normal 3 6 4" xfId="127" xr:uid="{00000000-0005-0000-0000-0000060F0000}"/>
    <cellStyle name="Normal 3 6 4 2" xfId="2454" xr:uid="{00000000-0005-0000-0000-0000070F0000}"/>
    <cellStyle name="Normal 3 6 4 2 2" xfId="3376" xr:uid="{00000000-0005-0000-0000-0000080F0000}"/>
    <cellStyle name="Normal 3 6 4 2 2 2" xfId="5229" xr:uid="{00000000-0005-0000-0000-0000090F0000}"/>
    <cellStyle name="Normal 3 6 4 2 3" xfId="4334" xr:uid="{00000000-0005-0000-0000-00000A0F0000}"/>
    <cellStyle name="Normal 3 6 4 3" xfId="3167" xr:uid="{00000000-0005-0000-0000-00000B0F0000}"/>
    <cellStyle name="Normal 3 6 4 3 2" xfId="5021" xr:uid="{00000000-0005-0000-0000-00000C0F0000}"/>
    <cellStyle name="Normal 3 6 4 4" xfId="3586" xr:uid="{00000000-0005-0000-0000-00000D0F0000}"/>
    <cellStyle name="Normal 3 6 5" xfId="163" xr:uid="{00000000-0005-0000-0000-00000E0F0000}"/>
    <cellStyle name="Normal 3 6 5 2" xfId="3203" xr:uid="{00000000-0005-0000-0000-00000F0F0000}"/>
    <cellStyle name="Normal 3 6 5 2 2" xfId="5057" xr:uid="{00000000-0005-0000-0000-0000100F0000}"/>
    <cellStyle name="Normal 3 6 5 3" xfId="3622" xr:uid="{00000000-0005-0000-0000-0000110F0000}"/>
    <cellStyle name="Normal 3 6 6" xfId="1823" xr:uid="{00000000-0005-0000-0000-0000120F0000}"/>
    <cellStyle name="Normal 3 6 7" xfId="2346" xr:uid="{00000000-0005-0000-0000-0000130F0000}"/>
    <cellStyle name="Normal 3 6 7 2" xfId="3268" xr:uid="{00000000-0005-0000-0000-0000140F0000}"/>
    <cellStyle name="Normal 3 6 7 2 2" xfId="5121" xr:uid="{00000000-0005-0000-0000-0000150F0000}"/>
    <cellStyle name="Normal 3 6 7 3" xfId="4226" xr:uid="{00000000-0005-0000-0000-0000160F0000}"/>
    <cellStyle name="Normal 3 6 8" xfId="3059" xr:uid="{00000000-0005-0000-0000-0000170F0000}"/>
    <cellStyle name="Normal 3 6 8 2" xfId="4913" xr:uid="{00000000-0005-0000-0000-0000180F0000}"/>
    <cellStyle name="Normal 3 6 9" xfId="3413" xr:uid="{00000000-0005-0000-0000-0000190F0000}"/>
    <cellStyle name="Normal 3 6 9 2" xfId="5265" xr:uid="{00000000-0005-0000-0000-00001A0F0000}"/>
    <cellStyle name="Normal 3 7" xfId="21" xr:uid="{00000000-0005-0000-0000-00001B0F0000}"/>
    <cellStyle name="Normal 3 7 10" xfId="3480" xr:uid="{00000000-0005-0000-0000-00001C0F0000}"/>
    <cellStyle name="Normal 3 7 11" xfId="5332" xr:uid="{00000000-0005-0000-0000-00001D0F0000}"/>
    <cellStyle name="Normal 3 7 2" xfId="51" xr:uid="{00000000-0005-0000-0000-00001E0F0000}"/>
    <cellStyle name="Normal 3 7 2 2" xfId="195" xr:uid="{00000000-0005-0000-0000-00001F0F0000}"/>
    <cellStyle name="Normal 3 7 2 2 2" xfId="3235" xr:uid="{00000000-0005-0000-0000-0000200F0000}"/>
    <cellStyle name="Normal 3 7 2 2 2 2" xfId="5089" xr:uid="{00000000-0005-0000-0000-0000210F0000}"/>
    <cellStyle name="Normal 3 7 2 2 3" xfId="3654" xr:uid="{00000000-0005-0000-0000-0000220F0000}"/>
    <cellStyle name="Normal 3 7 2 3" xfId="2378" xr:uid="{00000000-0005-0000-0000-0000230F0000}"/>
    <cellStyle name="Normal 3 7 2 3 2" xfId="3300" xr:uid="{00000000-0005-0000-0000-0000240F0000}"/>
    <cellStyle name="Normal 3 7 2 3 2 2" xfId="5153" xr:uid="{00000000-0005-0000-0000-0000250F0000}"/>
    <cellStyle name="Normal 3 7 2 3 3" xfId="4258" xr:uid="{00000000-0005-0000-0000-0000260F0000}"/>
    <cellStyle name="Normal 3 7 2 4" xfId="3091" xr:uid="{00000000-0005-0000-0000-0000270F0000}"/>
    <cellStyle name="Normal 3 7 2 4 2" xfId="4945" xr:uid="{00000000-0005-0000-0000-0000280F0000}"/>
    <cellStyle name="Normal 3 7 2 5" xfId="3445" xr:uid="{00000000-0005-0000-0000-0000290F0000}"/>
    <cellStyle name="Normal 3 7 2 5 2" xfId="5297" xr:uid="{00000000-0005-0000-0000-00002A0F0000}"/>
    <cellStyle name="Normal 3 7 2 6" xfId="3510" xr:uid="{00000000-0005-0000-0000-00002B0F0000}"/>
    <cellStyle name="Normal 3 7 2 7" xfId="5362" xr:uid="{00000000-0005-0000-0000-00002C0F0000}"/>
    <cellStyle name="Normal 3 7 3" xfId="103" xr:uid="{00000000-0005-0000-0000-00002D0F0000}"/>
    <cellStyle name="Normal 3 7 3 2" xfId="2430" xr:uid="{00000000-0005-0000-0000-00002E0F0000}"/>
    <cellStyle name="Normal 3 7 3 2 2" xfId="3352" xr:uid="{00000000-0005-0000-0000-00002F0F0000}"/>
    <cellStyle name="Normal 3 7 3 2 2 2" xfId="5205" xr:uid="{00000000-0005-0000-0000-0000300F0000}"/>
    <cellStyle name="Normal 3 7 3 2 3" xfId="4310" xr:uid="{00000000-0005-0000-0000-0000310F0000}"/>
    <cellStyle name="Normal 3 7 3 3" xfId="3143" xr:uid="{00000000-0005-0000-0000-0000320F0000}"/>
    <cellStyle name="Normal 3 7 3 3 2" xfId="4997" xr:uid="{00000000-0005-0000-0000-0000330F0000}"/>
    <cellStyle name="Normal 3 7 3 4" xfId="3562" xr:uid="{00000000-0005-0000-0000-0000340F0000}"/>
    <cellStyle name="Normal 3 7 4" xfId="129" xr:uid="{00000000-0005-0000-0000-0000350F0000}"/>
    <cellStyle name="Normal 3 7 4 2" xfId="2456" xr:uid="{00000000-0005-0000-0000-0000360F0000}"/>
    <cellStyle name="Normal 3 7 4 2 2" xfId="3378" xr:uid="{00000000-0005-0000-0000-0000370F0000}"/>
    <cellStyle name="Normal 3 7 4 2 2 2" xfId="5231" xr:uid="{00000000-0005-0000-0000-0000380F0000}"/>
    <cellStyle name="Normal 3 7 4 2 3" xfId="4336" xr:uid="{00000000-0005-0000-0000-0000390F0000}"/>
    <cellStyle name="Normal 3 7 4 3" xfId="3169" xr:uid="{00000000-0005-0000-0000-00003A0F0000}"/>
    <cellStyle name="Normal 3 7 4 3 2" xfId="5023" xr:uid="{00000000-0005-0000-0000-00003B0F0000}"/>
    <cellStyle name="Normal 3 7 4 4" xfId="3588" xr:uid="{00000000-0005-0000-0000-00003C0F0000}"/>
    <cellStyle name="Normal 3 7 5" xfId="165" xr:uid="{00000000-0005-0000-0000-00003D0F0000}"/>
    <cellStyle name="Normal 3 7 5 2" xfId="3205" xr:uid="{00000000-0005-0000-0000-00003E0F0000}"/>
    <cellStyle name="Normal 3 7 5 2 2" xfId="5059" xr:uid="{00000000-0005-0000-0000-00003F0F0000}"/>
    <cellStyle name="Normal 3 7 5 3" xfId="3624" xr:uid="{00000000-0005-0000-0000-0000400F0000}"/>
    <cellStyle name="Normal 3 7 6" xfId="1825" xr:uid="{00000000-0005-0000-0000-0000410F0000}"/>
    <cellStyle name="Normal 3 7 7" xfId="2348" xr:uid="{00000000-0005-0000-0000-0000420F0000}"/>
    <cellStyle name="Normal 3 7 7 2" xfId="3270" xr:uid="{00000000-0005-0000-0000-0000430F0000}"/>
    <cellStyle name="Normal 3 7 7 2 2" xfId="5123" xr:uid="{00000000-0005-0000-0000-0000440F0000}"/>
    <cellStyle name="Normal 3 7 7 3" xfId="4228" xr:uid="{00000000-0005-0000-0000-0000450F0000}"/>
    <cellStyle name="Normal 3 7 8" xfId="3061" xr:uid="{00000000-0005-0000-0000-0000460F0000}"/>
    <cellStyle name="Normal 3 7 8 2" xfId="4915" xr:uid="{00000000-0005-0000-0000-0000470F0000}"/>
    <cellStyle name="Normal 3 7 9" xfId="3415" xr:uid="{00000000-0005-0000-0000-0000480F0000}"/>
    <cellStyle name="Normal 3 7 9 2" xfId="5267" xr:uid="{00000000-0005-0000-0000-0000490F0000}"/>
    <cellStyle name="Normal 3 8" xfId="25" xr:uid="{00000000-0005-0000-0000-00004A0F0000}"/>
    <cellStyle name="Normal 3 8 10" xfId="3484" xr:uid="{00000000-0005-0000-0000-00004B0F0000}"/>
    <cellStyle name="Normal 3 8 11" xfId="5336" xr:uid="{00000000-0005-0000-0000-00004C0F0000}"/>
    <cellStyle name="Normal 3 8 2" xfId="55" xr:uid="{00000000-0005-0000-0000-00004D0F0000}"/>
    <cellStyle name="Normal 3 8 2 2" xfId="199" xr:uid="{00000000-0005-0000-0000-00004E0F0000}"/>
    <cellStyle name="Normal 3 8 2 2 2" xfId="3239" xr:uid="{00000000-0005-0000-0000-00004F0F0000}"/>
    <cellStyle name="Normal 3 8 2 2 2 2" xfId="5093" xr:uid="{00000000-0005-0000-0000-0000500F0000}"/>
    <cellStyle name="Normal 3 8 2 2 3" xfId="3658" xr:uid="{00000000-0005-0000-0000-0000510F0000}"/>
    <cellStyle name="Normal 3 8 2 3" xfId="1827" xr:uid="{00000000-0005-0000-0000-0000520F0000}"/>
    <cellStyle name="Normal 3 8 2 4" xfId="2382" xr:uid="{00000000-0005-0000-0000-0000530F0000}"/>
    <cellStyle name="Normal 3 8 2 4 2" xfId="3304" xr:uid="{00000000-0005-0000-0000-0000540F0000}"/>
    <cellStyle name="Normal 3 8 2 4 2 2" xfId="5157" xr:uid="{00000000-0005-0000-0000-0000550F0000}"/>
    <cellStyle name="Normal 3 8 2 4 3" xfId="4262" xr:uid="{00000000-0005-0000-0000-0000560F0000}"/>
    <cellStyle name="Normal 3 8 2 5" xfId="3095" xr:uid="{00000000-0005-0000-0000-0000570F0000}"/>
    <cellStyle name="Normal 3 8 2 5 2" xfId="4949" xr:uid="{00000000-0005-0000-0000-0000580F0000}"/>
    <cellStyle name="Normal 3 8 2 6" xfId="3449" xr:uid="{00000000-0005-0000-0000-0000590F0000}"/>
    <cellStyle name="Normal 3 8 2 6 2" xfId="5301" xr:uid="{00000000-0005-0000-0000-00005A0F0000}"/>
    <cellStyle name="Normal 3 8 2 7" xfId="3514" xr:uid="{00000000-0005-0000-0000-00005B0F0000}"/>
    <cellStyle name="Normal 3 8 2 8" xfId="5366" xr:uid="{00000000-0005-0000-0000-00005C0F0000}"/>
    <cellStyle name="Normal 3 8 3" xfId="107" xr:uid="{00000000-0005-0000-0000-00005D0F0000}"/>
    <cellStyle name="Normal 3 8 3 2" xfId="2434" xr:uid="{00000000-0005-0000-0000-00005E0F0000}"/>
    <cellStyle name="Normal 3 8 3 2 2" xfId="3356" xr:uid="{00000000-0005-0000-0000-00005F0F0000}"/>
    <cellStyle name="Normal 3 8 3 2 2 2" xfId="5209" xr:uid="{00000000-0005-0000-0000-0000600F0000}"/>
    <cellStyle name="Normal 3 8 3 2 3" xfId="4314" xr:uid="{00000000-0005-0000-0000-0000610F0000}"/>
    <cellStyle name="Normal 3 8 3 3" xfId="3147" xr:uid="{00000000-0005-0000-0000-0000620F0000}"/>
    <cellStyle name="Normal 3 8 3 3 2" xfId="5001" xr:uid="{00000000-0005-0000-0000-0000630F0000}"/>
    <cellStyle name="Normal 3 8 3 4" xfId="3566" xr:uid="{00000000-0005-0000-0000-0000640F0000}"/>
    <cellStyle name="Normal 3 8 4" xfId="133" xr:uid="{00000000-0005-0000-0000-0000650F0000}"/>
    <cellStyle name="Normal 3 8 4 2" xfId="2460" xr:uid="{00000000-0005-0000-0000-0000660F0000}"/>
    <cellStyle name="Normal 3 8 4 2 2" xfId="3382" xr:uid="{00000000-0005-0000-0000-0000670F0000}"/>
    <cellStyle name="Normal 3 8 4 2 2 2" xfId="5235" xr:uid="{00000000-0005-0000-0000-0000680F0000}"/>
    <cellStyle name="Normal 3 8 4 2 3" xfId="4340" xr:uid="{00000000-0005-0000-0000-0000690F0000}"/>
    <cellStyle name="Normal 3 8 4 3" xfId="3173" xr:uid="{00000000-0005-0000-0000-00006A0F0000}"/>
    <cellStyle name="Normal 3 8 4 3 2" xfId="5027" xr:uid="{00000000-0005-0000-0000-00006B0F0000}"/>
    <cellStyle name="Normal 3 8 4 4" xfId="3592" xr:uid="{00000000-0005-0000-0000-00006C0F0000}"/>
    <cellStyle name="Normal 3 8 5" xfId="169" xr:uid="{00000000-0005-0000-0000-00006D0F0000}"/>
    <cellStyle name="Normal 3 8 5 2" xfId="3209" xr:uid="{00000000-0005-0000-0000-00006E0F0000}"/>
    <cellStyle name="Normal 3 8 5 2 2" xfId="5063" xr:uid="{00000000-0005-0000-0000-00006F0F0000}"/>
    <cellStyle name="Normal 3 8 5 3" xfId="3628" xr:uid="{00000000-0005-0000-0000-0000700F0000}"/>
    <cellStyle name="Normal 3 8 6" xfId="1826" xr:uid="{00000000-0005-0000-0000-0000710F0000}"/>
    <cellStyle name="Normal 3 8 7" xfId="2352" xr:uid="{00000000-0005-0000-0000-0000720F0000}"/>
    <cellStyle name="Normal 3 8 7 2" xfId="3274" xr:uid="{00000000-0005-0000-0000-0000730F0000}"/>
    <cellStyle name="Normal 3 8 7 2 2" xfId="5127" xr:uid="{00000000-0005-0000-0000-0000740F0000}"/>
    <cellStyle name="Normal 3 8 7 3" xfId="4232" xr:uid="{00000000-0005-0000-0000-0000750F0000}"/>
    <cellStyle name="Normal 3 8 8" xfId="3065" xr:uid="{00000000-0005-0000-0000-0000760F0000}"/>
    <cellStyle name="Normal 3 8 8 2" xfId="4919" xr:uid="{00000000-0005-0000-0000-0000770F0000}"/>
    <cellStyle name="Normal 3 8 9" xfId="3419" xr:uid="{00000000-0005-0000-0000-0000780F0000}"/>
    <cellStyle name="Normal 3 8 9 2" xfId="5271" xr:uid="{00000000-0005-0000-0000-0000790F0000}"/>
    <cellStyle name="Normal 3 9" xfId="29" xr:uid="{00000000-0005-0000-0000-00007A0F0000}"/>
    <cellStyle name="Normal 3 9 10" xfId="3488" xr:uid="{00000000-0005-0000-0000-00007B0F0000}"/>
    <cellStyle name="Normal 3 9 11" xfId="5340" xr:uid="{00000000-0005-0000-0000-00007C0F0000}"/>
    <cellStyle name="Normal 3 9 2" xfId="59" xr:uid="{00000000-0005-0000-0000-00007D0F0000}"/>
    <cellStyle name="Normal 3 9 2 2" xfId="203" xr:uid="{00000000-0005-0000-0000-00007E0F0000}"/>
    <cellStyle name="Normal 3 9 2 2 2" xfId="3243" xr:uid="{00000000-0005-0000-0000-00007F0F0000}"/>
    <cellStyle name="Normal 3 9 2 2 2 2" xfId="5097" xr:uid="{00000000-0005-0000-0000-0000800F0000}"/>
    <cellStyle name="Normal 3 9 2 2 3" xfId="3662" xr:uid="{00000000-0005-0000-0000-0000810F0000}"/>
    <cellStyle name="Normal 3 9 2 3" xfId="2386" xr:uid="{00000000-0005-0000-0000-0000820F0000}"/>
    <cellStyle name="Normal 3 9 2 3 2" xfId="3308" xr:uid="{00000000-0005-0000-0000-0000830F0000}"/>
    <cellStyle name="Normal 3 9 2 3 2 2" xfId="5161" xr:uid="{00000000-0005-0000-0000-0000840F0000}"/>
    <cellStyle name="Normal 3 9 2 3 3" xfId="4266" xr:uid="{00000000-0005-0000-0000-0000850F0000}"/>
    <cellStyle name="Normal 3 9 2 4" xfId="3099" xr:uid="{00000000-0005-0000-0000-0000860F0000}"/>
    <cellStyle name="Normal 3 9 2 4 2" xfId="4953" xr:uid="{00000000-0005-0000-0000-0000870F0000}"/>
    <cellStyle name="Normal 3 9 2 5" xfId="3453" xr:uid="{00000000-0005-0000-0000-0000880F0000}"/>
    <cellStyle name="Normal 3 9 2 5 2" xfId="5305" xr:uid="{00000000-0005-0000-0000-0000890F0000}"/>
    <cellStyle name="Normal 3 9 2 6" xfId="3518" xr:uid="{00000000-0005-0000-0000-00008A0F0000}"/>
    <cellStyle name="Normal 3 9 2 7" xfId="5370" xr:uid="{00000000-0005-0000-0000-00008B0F0000}"/>
    <cellStyle name="Normal 3 9 3" xfId="111" xr:uid="{00000000-0005-0000-0000-00008C0F0000}"/>
    <cellStyle name="Normal 3 9 3 2" xfId="2438" xr:uid="{00000000-0005-0000-0000-00008D0F0000}"/>
    <cellStyle name="Normal 3 9 3 2 2" xfId="3360" xr:uid="{00000000-0005-0000-0000-00008E0F0000}"/>
    <cellStyle name="Normal 3 9 3 2 2 2" xfId="5213" xr:uid="{00000000-0005-0000-0000-00008F0F0000}"/>
    <cellStyle name="Normal 3 9 3 2 3" xfId="4318" xr:uid="{00000000-0005-0000-0000-0000900F0000}"/>
    <cellStyle name="Normal 3 9 3 3" xfId="3151" xr:uid="{00000000-0005-0000-0000-0000910F0000}"/>
    <cellStyle name="Normal 3 9 3 3 2" xfId="5005" xr:uid="{00000000-0005-0000-0000-0000920F0000}"/>
    <cellStyle name="Normal 3 9 3 4" xfId="3570" xr:uid="{00000000-0005-0000-0000-0000930F0000}"/>
    <cellStyle name="Normal 3 9 4" xfId="137" xr:uid="{00000000-0005-0000-0000-0000940F0000}"/>
    <cellStyle name="Normal 3 9 4 2" xfId="2464" xr:uid="{00000000-0005-0000-0000-0000950F0000}"/>
    <cellStyle name="Normal 3 9 4 2 2" xfId="3386" xr:uid="{00000000-0005-0000-0000-0000960F0000}"/>
    <cellStyle name="Normal 3 9 4 2 2 2" xfId="5239" xr:uid="{00000000-0005-0000-0000-0000970F0000}"/>
    <cellStyle name="Normal 3 9 4 2 3" xfId="4344" xr:uid="{00000000-0005-0000-0000-0000980F0000}"/>
    <cellStyle name="Normal 3 9 4 3" xfId="3177" xr:uid="{00000000-0005-0000-0000-0000990F0000}"/>
    <cellStyle name="Normal 3 9 4 3 2" xfId="5031" xr:uid="{00000000-0005-0000-0000-00009A0F0000}"/>
    <cellStyle name="Normal 3 9 4 4" xfId="3596" xr:uid="{00000000-0005-0000-0000-00009B0F0000}"/>
    <cellStyle name="Normal 3 9 5" xfId="173" xr:uid="{00000000-0005-0000-0000-00009C0F0000}"/>
    <cellStyle name="Normal 3 9 5 2" xfId="3213" xr:uid="{00000000-0005-0000-0000-00009D0F0000}"/>
    <cellStyle name="Normal 3 9 5 2 2" xfId="5067" xr:uid="{00000000-0005-0000-0000-00009E0F0000}"/>
    <cellStyle name="Normal 3 9 5 3" xfId="3632" xr:uid="{00000000-0005-0000-0000-00009F0F0000}"/>
    <cellStyle name="Normal 3 9 6" xfId="1828" xr:uid="{00000000-0005-0000-0000-0000A00F0000}"/>
    <cellStyle name="Normal 3 9 7" xfId="2356" xr:uid="{00000000-0005-0000-0000-0000A10F0000}"/>
    <cellStyle name="Normal 3 9 7 2" xfId="3278" xr:uid="{00000000-0005-0000-0000-0000A20F0000}"/>
    <cellStyle name="Normal 3 9 7 2 2" xfId="5131" xr:uid="{00000000-0005-0000-0000-0000A30F0000}"/>
    <cellStyle name="Normal 3 9 7 3" xfId="4236" xr:uid="{00000000-0005-0000-0000-0000A40F0000}"/>
    <cellStyle name="Normal 3 9 8" xfId="3069" xr:uid="{00000000-0005-0000-0000-0000A50F0000}"/>
    <cellStyle name="Normal 3 9 8 2" xfId="4923" xr:uid="{00000000-0005-0000-0000-0000A60F0000}"/>
    <cellStyle name="Normal 3 9 9" xfId="3423" xr:uid="{00000000-0005-0000-0000-0000A70F0000}"/>
    <cellStyle name="Normal 3 9 9 2" xfId="5275" xr:uid="{00000000-0005-0000-0000-0000A80F0000}"/>
    <cellStyle name="Normal 30" xfId="1829" xr:uid="{00000000-0005-0000-0000-0000A90F0000}"/>
    <cellStyle name="Normal 30 2" xfId="1830" xr:uid="{00000000-0005-0000-0000-0000AA0F0000}"/>
    <cellStyle name="Normal 31" xfId="1831" xr:uid="{00000000-0005-0000-0000-0000AB0F0000}"/>
    <cellStyle name="Normal 31 2" xfId="1832" xr:uid="{00000000-0005-0000-0000-0000AC0F0000}"/>
    <cellStyle name="Normal 32" xfId="1833" xr:uid="{00000000-0005-0000-0000-0000AD0F0000}"/>
    <cellStyle name="Normal 32 2" xfId="1834" xr:uid="{00000000-0005-0000-0000-0000AE0F0000}"/>
    <cellStyle name="Normal 33" xfId="1835" xr:uid="{00000000-0005-0000-0000-0000AF0F0000}"/>
    <cellStyle name="Normal 33 2" xfId="1836" xr:uid="{00000000-0005-0000-0000-0000B00F0000}"/>
    <cellStyle name="Normal 34" xfId="1837" xr:uid="{00000000-0005-0000-0000-0000B10F0000}"/>
    <cellStyle name="Normal 34 2" xfId="1838" xr:uid="{00000000-0005-0000-0000-0000B20F0000}"/>
    <cellStyle name="Normal 35" xfId="1839" xr:uid="{00000000-0005-0000-0000-0000B30F0000}"/>
    <cellStyle name="Normal 35 2" xfId="1840" xr:uid="{00000000-0005-0000-0000-0000B40F0000}"/>
    <cellStyle name="Normal 36" xfId="1841" xr:uid="{00000000-0005-0000-0000-0000B50F0000}"/>
    <cellStyle name="Normal 36 2" xfId="1842" xr:uid="{00000000-0005-0000-0000-0000B60F0000}"/>
    <cellStyle name="Normal 37" xfId="1843" xr:uid="{00000000-0005-0000-0000-0000B70F0000}"/>
    <cellStyle name="Normal 37 2" xfId="1844" xr:uid="{00000000-0005-0000-0000-0000B80F0000}"/>
    <cellStyle name="Normal 38" xfId="1845" xr:uid="{00000000-0005-0000-0000-0000B90F0000}"/>
    <cellStyle name="Normal 38 2" xfId="1846" xr:uid="{00000000-0005-0000-0000-0000BA0F0000}"/>
    <cellStyle name="Normal 39" xfId="1847" xr:uid="{00000000-0005-0000-0000-0000BB0F0000}"/>
    <cellStyle name="Normal 39 2" xfId="1848" xr:uid="{00000000-0005-0000-0000-0000BC0F0000}"/>
    <cellStyle name="Normal 4" xfId="6" xr:uid="{00000000-0005-0000-0000-0000BD0F0000}"/>
    <cellStyle name="Normal 4 10" xfId="32" xr:uid="{00000000-0005-0000-0000-0000BE0F0000}"/>
    <cellStyle name="Normal 4 10 10" xfId="5343" xr:uid="{00000000-0005-0000-0000-0000BF0F0000}"/>
    <cellStyle name="Normal 4 10 2" xfId="62" xr:uid="{00000000-0005-0000-0000-0000C00F0000}"/>
    <cellStyle name="Normal 4 10 2 2" xfId="206" xr:uid="{00000000-0005-0000-0000-0000C10F0000}"/>
    <cellStyle name="Normal 4 10 2 2 2" xfId="3246" xr:uid="{00000000-0005-0000-0000-0000C20F0000}"/>
    <cellStyle name="Normal 4 10 2 2 2 2" xfId="5100" xr:uid="{00000000-0005-0000-0000-0000C30F0000}"/>
    <cellStyle name="Normal 4 10 2 2 3" xfId="3665" xr:uid="{00000000-0005-0000-0000-0000C40F0000}"/>
    <cellStyle name="Normal 4 10 2 3" xfId="2389" xr:uid="{00000000-0005-0000-0000-0000C50F0000}"/>
    <cellStyle name="Normal 4 10 2 3 2" xfId="3311" xr:uid="{00000000-0005-0000-0000-0000C60F0000}"/>
    <cellStyle name="Normal 4 10 2 3 2 2" xfId="5164" xr:uid="{00000000-0005-0000-0000-0000C70F0000}"/>
    <cellStyle name="Normal 4 10 2 3 3" xfId="4269" xr:uid="{00000000-0005-0000-0000-0000C80F0000}"/>
    <cellStyle name="Normal 4 10 2 4" xfId="3102" xr:uid="{00000000-0005-0000-0000-0000C90F0000}"/>
    <cellStyle name="Normal 4 10 2 4 2" xfId="4956" xr:uid="{00000000-0005-0000-0000-0000CA0F0000}"/>
    <cellStyle name="Normal 4 10 2 5" xfId="3456" xr:uid="{00000000-0005-0000-0000-0000CB0F0000}"/>
    <cellStyle name="Normal 4 10 2 5 2" xfId="5308" xr:uid="{00000000-0005-0000-0000-0000CC0F0000}"/>
    <cellStyle name="Normal 4 10 2 6" xfId="3521" xr:uid="{00000000-0005-0000-0000-0000CD0F0000}"/>
    <cellStyle name="Normal 4 10 2 7" xfId="5373" xr:uid="{00000000-0005-0000-0000-0000CE0F0000}"/>
    <cellStyle name="Normal 4 10 3" xfId="114" xr:uid="{00000000-0005-0000-0000-0000CF0F0000}"/>
    <cellStyle name="Normal 4 10 3 2" xfId="2441" xr:uid="{00000000-0005-0000-0000-0000D00F0000}"/>
    <cellStyle name="Normal 4 10 3 2 2" xfId="3363" xr:uid="{00000000-0005-0000-0000-0000D10F0000}"/>
    <cellStyle name="Normal 4 10 3 2 2 2" xfId="5216" xr:uid="{00000000-0005-0000-0000-0000D20F0000}"/>
    <cellStyle name="Normal 4 10 3 2 3" xfId="4321" xr:uid="{00000000-0005-0000-0000-0000D30F0000}"/>
    <cellStyle name="Normal 4 10 3 3" xfId="3154" xr:uid="{00000000-0005-0000-0000-0000D40F0000}"/>
    <cellStyle name="Normal 4 10 3 3 2" xfId="5008" xr:uid="{00000000-0005-0000-0000-0000D50F0000}"/>
    <cellStyle name="Normal 4 10 3 4" xfId="3573" xr:uid="{00000000-0005-0000-0000-0000D60F0000}"/>
    <cellStyle name="Normal 4 10 4" xfId="140" xr:uid="{00000000-0005-0000-0000-0000D70F0000}"/>
    <cellStyle name="Normal 4 10 4 2" xfId="2467" xr:uid="{00000000-0005-0000-0000-0000D80F0000}"/>
    <cellStyle name="Normal 4 10 4 2 2" xfId="3389" xr:uid="{00000000-0005-0000-0000-0000D90F0000}"/>
    <cellStyle name="Normal 4 10 4 2 2 2" xfId="5242" xr:uid="{00000000-0005-0000-0000-0000DA0F0000}"/>
    <cellStyle name="Normal 4 10 4 2 3" xfId="4347" xr:uid="{00000000-0005-0000-0000-0000DB0F0000}"/>
    <cellStyle name="Normal 4 10 4 3" xfId="3180" xr:uid="{00000000-0005-0000-0000-0000DC0F0000}"/>
    <cellStyle name="Normal 4 10 4 3 2" xfId="5034" xr:uid="{00000000-0005-0000-0000-0000DD0F0000}"/>
    <cellStyle name="Normal 4 10 4 4" xfId="3599" xr:uid="{00000000-0005-0000-0000-0000DE0F0000}"/>
    <cellStyle name="Normal 4 10 5" xfId="176" xr:uid="{00000000-0005-0000-0000-0000DF0F0000}"/>
    <cellStyle name="Normal 4 10 5 2" xfId="3216" xr:uid="{00000000-0005-0000-0000-0000E00F0000}"/>
    <cellStyle name="Normal 4 10 5 2 2" xfId="5070" xr:uid="{00000000-0005-0000-0000-0000E10F0000}"/>
    <cellStyle name="Normal 4 10 5 3" xfId="3635" xr:uid="{00000000-0005-0000-0000-0000E20F0000}"/>
    <cellStyle name="Normal 4 10 6" xfId="2359" xr:uid="{00000000-0005-0000-0000-0000E30F0000}"/>
    <cellStyle name="Normal 4 10 6 2" xfId="3281" xr:uid="{00000000-0005-0000-0000-0000E40F0000}"/>
    <cellStyle name="Normal 4 10 6 2 2" xfId="5134" xr:uid="{00000000-0005-0000-0000-0000E50F0000}"/>
    <cellStyle name="Normal 4 10 6 3" xfId="4239" xr:uid="{00000000-0005-0000-0000-0000E60F0000}"/>
    <cellStyle name="Normal 4 10 7" xfId="3072" xr:uid="{00000000-0005-0000-0000-0000E70F0000}"/>
    <cellStyle name="Normal 4 10 7 2" xfId="4926" xr:uid="{00000000-0005-0000-0000-0000E80F0000}"/>
    <cellStyle name="Normal 4 10 8" xfId="3426" xr:uid="{00000000-0005-0000-0000-0000E90F0000}"/>
    <cellStyle name="Normal 4 10 8 2" xfId="5278" xr:uid="{00000000-0005-0000-0000-0000EA0F0000}"/>
    <cellStyle name="Normal 4 10 9" xfId="3491" xr:uid="{00000000-0005-0000-0000-0000EB0F0000}"/>
    <cellStyle name="Normal 4 11" xfId="34" xr:uid="{00000000-0005-0000-0000-0000EC0F0000}"/>
    <cellStyle name="Normal 4 11 2" xfId="64" xr:uid="{00000000-0005-0000-0000-0000ED0F0000}"/>
    <cellStyle name="Normal 4 11 2 2" xfId="208" xr:uid="{00000000-0005-0000-0000-0000EE0F0000}"/>
    <cellStyle name="Normal 4 11 2 2 2" xfId="3248" xr:uid="{00000000-0005-0000-0000-0000EF0F0000}"/>
    <cellStyle name="Normal 4 11 2 2 2 2" xfId="5102" xr:uid="{00000000-0005-0000-0000-0000F00F0000}"/>
    <cellStyle name="Normal 4 11 2 2 3" xfId="3667" xr:uid="{00000000-0005-0000-0000-0000F10F0000}"/>
    <cellStyle name="Normal 4 11 2 3" xfId="2391" xr:uid="{00000000-0005-0000-0000-0000F20F0000}"/>
    <cellStyle name="Normal 4 11 2 3 2" xfId="3313" xr:uid="{00000000-0005-0000-0000-0000F30F0000}"/>
    <cellStyle name="Normal 4 11 2 3 2 2" xfId="5166" xr:uid="{00000000-0005-0000-0000-0000F40F0000}"/>
    <cellStyle name="Normal 4 11 2 3 3" xfId="4271" xr:uid="{00000000-0005-0000-0000-0000F50F0000}"/>
    <cellStyle name="Normal 4 11 2 4" xfId="3104" xr:uid="{00000000-0005-0000-0000-0000F60F0000}"/>
    <cellStyle name="Normal 4 11 2 4 2" xfId="4958" xr:uid="{00000000-0005-0000-0000-0000F70F0000}"/>
    <cellStyle name="Normal 4 11 2 5" xfId="3458" xr:uid="{00000000-0005-0000-0000-0000F80F0000}"/>
    <cellStyle name="Normal 4 11 2 5 2" xfId="5310" xr:uid="{00000000-0005-0000-0000-0000F90F0000}"/>
    <cellStyle name="Normal 4 11 2 6" xfId="3523" xr:uid="{00000000-0005-0000-0000-0000FA0F0000}"/>
    <cellStyle name="Normal 4 11 2 7" xfId="5375" xr:uid="{00000000-0005-0000-0000-0000FB0F0000}"/>
    <cellStyle name="Normal 4 11 3" xfId="142" xr:uid="{00000000-0005-0000-0000-0000FC0F0000}"/>
    <cellStyle name="Normal 4 11 3 2" xfId="2469" xr:uid="{00000000-0005-0000-0000-0000FD0F0000}"/>
    <cellStyle name="Normal 4 11 3 2 2" xfId="3391" xr:uid="{00000000-0005-0000-0000-0000FE0F0000}"/>
    <cellStyle name="Normal 4 11 3 2 2 2" xfId="5244" xr:uid="{00000000-0005-0000-0000-0000FF0F0000}"/>
    <cellStyle name="Normal 4 11 3 2 3" xfId="4349" xr:uid="{00000000-0005-0000-0000-000000100000}"/>
    <cellStyle name="Normal 4 11 3 3" xfId="3182" xr:uid="{00000000-0005-0000-0000-000001100000}"/>
    <cellStyle name="Normal 4 11 3 3 2" xfId="5036" xr:uid="{00000000-0005-0000-0000-000002100000}"/>
    <cellStyle name="Normal 4 11 3 4" xfId="3601" xr:uid="{00000000-0005-0000-0000-000003100000}"/>
    <cellStyle name="Normal 4 11 4" xfId="178" xr:uid="{00000000-0005-0000-0000-000004100000}"/>
    <cellStyle name="Normal 4 11 4 2" xfId="3218" xr:uid="{00000000-0005-0000-0000-000005100000}"/>
    <cellStyle name="Normal 4 11 4 2 2" xfId="5072" xr:uid="{00000000-0005-0000-0000-000006100000}"/>
    <cellStyle name="Normal 4 11 4 3" xfId="3637" xr:uid="{00000000-0005-0000-0000-000007100000}"/>
    <cellStyle name="Normal 4 11 5" xfId="2361" xr:uid="{00000000-0005-0000-0000-000008100000}"/>
    <cellStyle name="Normal 4 11 5 2" xfId="3283" xr:uid="{00000000-0005-0000-0000-000009100000}"/>
    <cellStyle name="Normal 4 11 5 2 2" xfId="5136" xr:uid="{00000000-0005-0000-0000-00000A100000}"/>
    <cellStyle name="Normal 4 11 5 3" xfId="4241" xr:uid="{00000000-0005-0000-0000-00000B100000}"/>
    <cellStyle name="Normal 4 11 6" xfId="3074" xr:uid="{00000000-0005-0000-0000-00000C100000}"/>
    <cellStyle name="Normal 4 11 6 2" xfId="4928" xr:uid="{00000000-0005-0000-0000-00000D100000}"/>
    <cellStyle name="Normal 4 11 7" xfId="3428" xr:uid="{00000000-0005-0000-0000-00000E100000}"/>
    <cellStyle name="Normal 4 11 7 2" xfId="5280" xr:uid="{00000000-0005-0000-0000-00000F100000}"/>
    <cellStyle name="Normal 4 11 8" xfId="3493" xr:uid="{00000000-0005-0000-0000-000010100000}"/>
    <cellStyle name="Normal 4 11 9" xfId="5345" xr:uid="{00000000-0005-0000-0000-000011100000}"/>
    <cellStyle name="Normal 4 12" xfId="38" xr:uid="{00000000-0005-0000-0000-000012100000}"/>
    <cellStyle name="Normal 4 12 2" xfId="182" xr:uid="{00000000-0005-0000-0000-000013100000}"/>
    <cellStyle name="Normal 4 12 2 2" xfId="3222" xr:uid="{00000000-0005-0000-0000-000014100000}"/>
    <cellStyle name="Normal 4 12 2 2 2" xfId="5076" xr:uid="{00000000-0005-0000-0000-000015100000}"/>
    <cellStyle name="Normal 4 12 2 3" xfId="3641" xr:uid="{00000000-0005-0000-0000-000016100000}"/>
    <cellStyle name="Normal 4 12 3" xfId="2365" xr:uid="{00000000-0005-0000-0000-000017100000}"/>
    <cellStyle name="Normal 4 12 3 2" xfId="3287" xr:uid="{00000000-0005-0000-0000-000018100000}"/>
    <cellStyle name="Normal 4 12 3 2 2" xfId="5140" xr:uid="{00000000-0005-0000-0000-000019100000}"/>
    <cellStyle name="Normal 4 12 3 3" xfId="4245" xr:uid="{00000000-0005-0000-0000-00001A100000}"/>
    <cellStyle name="Normal 4 12 4" xfId="3078" xr:uid="{00000000-0005-0000-0000-00001B100000}"/>
    <cellStyle name="Normal 4 12 4 2" xfId="4932" xr:uid="{00000000-0005-0000-0000-00001C100000}"/>
    <cellStyle name="Normal 4 12 5" xfId="3432" xr:uid="{00000000-0005-0000-0000-00001D100000}"/>
    <cellStyle name="Normal 4 12 5 2" xfId="5284" xr:uid="{00000000-0005-0000-0000-00001E100000}"/>
    <cellStyle name="Normal 4 12 6" xfId="3497" xr:uid="{00000000-0005-0000-0000-00001F100000}"/>
    <cellStyle name="Normal 4 12 7" xfId="5349" xr:uid="{00000000-0005-0000-0000-000020100000}"/>
    <cellStyle name="Normal 4 13" xfId="68" xr:uid="{00000000-0005-0000-0000-000021100000}"/>
    <cellStyle name="Normal 4 13 2" xfId="212" xr:uid="{00000000-0005-0000-0000-000022100000}"/>
    <cellStyle name="Normal 4 13 2 2" xfId="3252" xr:uid="{00000000-0005-0000-0000-000023100000}"/>
    <cellStyle name="Normal 4 13 2 2 2" xfId="5106" xr:uid="{00000000-0005-0000-0000-000024100000}"/>
    <cellStyle name="Normal 4 13 2 3" xfId="3671" xr:uid="{00000000-0005-0000-0000-000025100000}"/>
    <cellStyle name="Normal 4 13 3" xfId="2395" xr:uid="{00000000-0005-0000-0000-000026100000}"/>
    <cellStyle name="Normal 4 13 3 2" xfId="3317" xr:uid="{00000000-0005-0000-0000-000027100000}"/>
    <cellStyle name="Normal 4 13 3 2 2" xfId="5170" xr:uid="{00000000-0005-0000-0000-000028100000}"/>
    <cellStyle name="Normal 4 13 3 3" xfId="4275" xr:uid="{00000000-0005-0000-0000-000029100000}"/>
    <cellStyle name="Normal 4 13 4" xfId="3108" xr:uid="{00000000-0005-0000-0000-00002A100000}"/>
    <cellStyle name="Normal 4 13 4 2" xfId="4962" xr:uid="{00000000-0005-0000-0000-00002B100000}"/>
    <cellStyle name="Normal 4 13 5" xfId="3462" xr:uid="{00000000-0005-0000-0000-00002C100000}"/>
    <cellStyle name="Normal 4 13 5 2" xfId="5314" xr:uid="{00000000-0005-0000-0000-00002D100000}"/>
    <cellStyle name="Normal 4 13 6" xfId="3527" xr:uid="{00000000-0005-0000-0000-00002E100000}"/>
    <cellStyle name="Normal 4 13 7" xfId="5379" xr:uid="{00000000-0005-0000-0000-00002F100000}"/>
    <cellStyle name="Normal 4 14" xfId="70" xr:uid="{00000000-0005-0000-0000-000030100000}"/>
    <cellStyle name="Normal 4 14 2" xfId="2397" xr:uid="{00000000-0005-0000-0000-000031100000}"/>
    <cellStyle name="Normal 4 14 2 2" xfId="3319" xr:uid="{00000000-0005-0000-0000-000032100000}"/>
    <cellStyle name="Normal 4 14 2 2 2" xfId="5172" xr:uid="{00000000-0005-0000-0000-000033100000}"/>
    <cellStyle name="Normal 4 14 2 3" xfId="4277" xr:uid="{00000000-0005-0000-0000-000034100000}"/>
    <cellStyle name="Normal 4 14 3" xfId="3110" xr:uid="{00000000-0005-0000-0000-000035100000}"/>
    <cellStyle name="Normal 4 14 3 2" xfId="4964" xr:uid="{00000000-0005-0000-0000-000036100000}"/>
    <cellStyle name="Normal 4 14 4" xfId="3529" xr:uid="{00000000-0005-0000-0000-000037100000}"/>
    <cellStyle name="Normal 4 14 5" xfId="5381" xr:uid="{00000000-0005-0000-0000-000038100000}"/>
    <cellStyle name="Normal 4 15" xfId="74" xr:uid="{00000000-0005-0000-0000-000039100000}"/>
    <cellStyle name="Normal 4 15 2" xfId="2401" xr:uid="{00000000-0005-0000-0000-00003A100000}"/>
    <cellStyle name="Normal 4 15 2 2" xfId="3323" xr:uid="{00000000-0005-0000-0000-00003B100000}"/>
    <cellStyle name="Normal 4 15 2 2 2" xfId="5176" xr:uid="{00000000-0005-0000-0000-00003C100000}"/>
    <cellStyle name="Normal 4 15 2 3" xfId="4281" xr:uid="{00000000-0005-0000-0000-00003D100000}"/>
    <cellStyle name="Normal 4 15 3" xfId="3114" xr:uid="{00000000-0005-0000-0000-00003E100000}"/>
    <cellStyle name="Normal 4 15 3 2" xfId="4968" xr:uid="{00000000-0005-0000-0000-00003F100000}"/>
    <cellStyle name="Normal 4 15 4" xfId="3533" xr:uid="{00000000-0005-0000-0000-000040100000}"/>
    <cellStyle name="Normal 4 16" xfId="78" xr:uid="{00000000-0005-0000-0000-000041100000}"/>
    <cellStyle name="Normal 4 16 2" xfId="2405" xr:uid="{00000000-0005-0000-0000-000042100000}"/>
    <cellStyle name="Normal 4 16 2 2" xfId="3327" xr:uid="{00000000-0005-0000-0000-000043100000}"/>
    <cellStyle name="Normal 4 16 2 2 2" xfId="5180" xr:uid="{00000000-0005-0000-0000-000044100000}"/>
    <cellStyle name="Normal 4 16 2 3" xfId="4285" xr:uid="{00000000-0005-0000-0000-000045100000}"/>
    <cellStyle name="Normal 4 16 3" xfId="3118" xr:uid="{00000000-0005-0000-0000-000046100000}"/>
    <cellStyle name="Normal 4 16 3 2" xfId="4972" xr:uid="{00000000-0005-0000-0000-000047100000}"/>
    <cellStyle name="Normal 4 16 4" xfId="3537" xr:uid="{00000000-0005-0000-0000-000048100000}"/>
    <cellStyle name="Normal 4 17" xfId="90" xr:uid="{00000000-0005-0000-0000-000049100000}"/>
    <cellStyle name="Normal 4 17 2" xfId="2417" xr:uid="{00000000-0005-0000-0000-00004A100000}"/>
    <cellStyle name="Normal 4 17 2 2" xfId="3339" xr:uid="{00000000-0005-0000-0000-00004B100000}"/>
    <cellStyle name="Normal 4 17 2 2 2" xfId="5192" xr:uid="{00000000-0005-0000-0000-00004C100000}"/>
    <cellStyle name="Normal 4 17 2 3" xfId="4297" xr:uid="{00000000-0005-0000-0000-00004D100000}"/>
    <cellStyle name="Normal 4 17 3" xfId="3130" xr:uid="{00000000-0005-0000-0000-00004E100000}"/>
    <cellStyle name="Normal 4 17 3 2" xfId="4984" xr:uid="{00000000-0005-0000-0000-00004F100000}"/>
    <cellStyle name="Normal 4 17 4" xfId="3549" xr:uid="{00000000-0005-0000-0000-000050100000}"/>
    <cellStyle name="Normal 4 18" xfId="116" xr:uid="{00000000-0005-0000-0000-000051100000}"/>
    <cellStyle name="Normal 4 18 2" xfId="2443" xr:uid="{00000000-0005-0000-0000-000052100000}"/>
    <cellStyle name="Normal 4 18 2 2" xfId="3365" xr:uid="{00000000-0005-0000-0000-000053100000}"/>
    <cellStyle name="Normal 4 18 2 2 2" xfId="5218" xr:uid="{00000000-0005-0000-0000-000054100000}"/>
    <cellStyle name="Normal 4 18 2 3" xfId="4323" xr:uid="{00000000-0005-0000-0000-000055100000}"/>
    <cellStyle name="Normal 4 18 3" xfId="3156" xr:uid="{00000000-0005-0000-0000-000056100000}"/>
    <cellStyle name="Normal 4 18 3 2" xfId="5010" xr:uid="{00000000-0005-0000-0000-000057100000}"/>
    <cellStyle name="Normal 4 18 4" xfId="3575" xr:uid="{00000000-0005-0000-0000-000058100000}"/>
    <cellStyle name="Normal 4 19" xfId="146" xr:uid="{00000000-0005-0000-0000-000059100000}"/>
    <cellStyle name="Normal 4 19 2" xfId="2473" xr:uid="{00000000-0005-0000-0000-00005A100000}"/>
    <cellStyle name="Normal 4 19 2 2" xfId="3395" xr:uid="{00000000-0005-0000-0000-00005B100000}"/>
    <cellStyle name="Normal 4 19 2 2 2" xfId="5248" xr:uid="{00000000-0005-0000-0000-00005C100000}"/>
    <cellStyle name="Normal 4 19 2 3" xfId="4353" xr:uid="{00000000-0005-0000-0000-00005D100000}"/>
    <cellStyle name="Normal 4 19 3" xfId="3186" xr:uid="{00000000-0005-0000-0000-00005E100000}"/>
    <cellStyle name="Normal 4 19 3 2" xfId="5040" xr:uid="{00000000-0005-0000-0000-00005F100000}"/>
    <cellStyle name="Normal 4 19 4" xfId="3605" xr:uid="{00000000-0005-0000-0000-000060100000}"/>
    <cellStyle name="Normal 4 2" xfId="10" xr:uid="{00000000-0005-0000-0000-000061100000}"/>
    <cellStyle name="Normal 4 2 10" xfId="118" xr:uid="{00000000-0005-0000-0000-000062100000}"/>
    <cellStyle name="Normal 4 2 10 2" xfId="2445" xr:uid="{00000000-0005-0000-0000-000063100000}"/>
    <cellStyle name="Normal 4 2 10 2 2" xfId="3367" xr:uid="{00000000-0005-0000-0000-000064100000}"/>
    <cellStyle name="Normal 4 2 10 2 2 2" xfId="5220" xr:uid="{00000000-0005-0000-0000-000065100000}"/>
    <cellStyle name="Normal 4 2 10 2 3" xfId="4325" xr:uid="{00000000-0005-0000-0000-000066100000}"/>
    <cellStyle name="Normal 4 2 10 3" xfId="3158" xr:uid="{00000000-0005-0000-0000-000067100000}"/>
    <cellStyle name="Normal 4 2 10 3 2" xfId="5012" xr:uid="{00000000-0005-0000-0000-000068100000}"/>
    <cellStyle name="Normal 4 2 10 4" xfId="3577" xr:uid="{00000000-0005-0000-0000-000069100000}"/>
    <cellStyle name="Normal 4 2 11" xfId="150" xr:uid="{00000000-0005-0000-0000-00006A100000}"/>
    <cellStyle name="Normal 4 2 11 2" xfId="3190" xr:uid="{00000000-0005-0000-0000-00006B100000}"/>
    <cellStyle name="Normal 4 2 11 2 2" xfId="5044" xr:uid="{00000000-0005-0000-0000-00006C100000}"/>
    <cellStyle name="Normal 4 2 11 3" xfId="3609" xr:uid="{00000000-0005-0000-0000-00006D100000}"/>
    <cellStyle name="Normal 4 2 12" xfId="154" xr:uid="{00000000-0005-0000-0000-00006E100000}"/>
    <cellStyle name="Normal 4 2 12 2" xfId="3194" xr:uid="{00000000-0005-0000-0000-00006F100000}"/>
    <cellStyle name="Normal 4 2 12 2 2" xfId="5048" xr:uid="{00000000-0005-0000-0000-000070100000}"/>
    <cellStyle name="Normal 4 2 12 3" xfId="3613" xr:uid="{00000000-0005-0000-0000-000071100000}"/>
    <cellStyle name="Normal 4 2 13" xfId="1850" xr:uid="{00000000-0005-0000-0000-000072100000}"/>
    <cellStyle name="Normal 4 2 14" xfId="2337" xr:uid="{00000000-0005-0000-0000-000073100000}"/>
    <cellStyle name="Normal 4 2 14 2" xfId="3259" xr:uid="{00000000-0005-0000-0000-000074100000}"/>
    <cellStyle name="Normal 4 2 14 2 2" xfId="5112" xr:uid="{00000000-0005-0000-0000-000075100000}"/>
    <cellStyle name="Normal 4 2 14 3" xfId="4217" xr:uid="{00000000-0005-0000-0000-000076100000}"/>
    <cellStyle name="Normal 4 2 15" xfId="2478" xr:uid="{00000000-0005-0000-0000-000077100000}"/>
    <cellStyle name="Normal 4 2 15 2" xfId="3399" xr:uid="{00000000-0005-0000-0000-000078100000}"/>
    <cellStyle name="Normal 4 2 15 2 2" xfId="5252" xr:uid="{00000000-0005-0000-0000-000079100000}"/>
    <cellStyle name="Normal 4 2 15 3" xfId="4357" xr:uid="{00000000-0005-0000-0000-00007A100000}"/>
    <cellStyle name="Normal 4 2 16" xfId="2898" xr:uid="{00000000-0005-0000-0000-00007B100000}"/>
    <cellStyle name="Normal 4 2 16 2" xfId="4775" xr:uid="{00000000-0005-0000-0000-00007C100000}"/>
    <cellStyle name="Normal 4 2 17" xfId="3050" xr:uid="{00000000-0005-0000-0000-00007D100000}"/>
    <cellStyle name="Normal 4 2 17 2" xfId="4904" xr:uid="{00000000-0005-0000-0000-00007E100000}"/>
    <cellStyle name="Normal 4 2 18" xfId="3404" xr:uid="{00000000-0005-0000-0000-00007F100000}"/>
    <cellStyle name="Normal 4 2 18 2" xfId="5256" xr:uid="{00000000-0005-0000-0000-000080100000}"/>
    <cellStyle name="Normal 4 2 19" xfId="3469" xr:uid="{00000000-0005-0000-0000-000081100000}"/>
    <cellStyle name="Normal 4 2 2" xfId="18" xr:uid="{00000000-0005-0000-0000-000082100000}"/>
    <cellStyle name="Normal 4 2 2 10" xfId="3477" xr:uid="{00000000-0005-0000-0000-000083100000}"/>
    <cellStyle name="Normal 4 2 2 11" xfId="5329" xr:uid="{00000000-0005-0000-0000-000084100000}"/>
    <cellStyle name="Normal 4 2 2 2" xfId="48" xr:uid="{00000000-0005-0000-0000-000085100000}"/>
    <cellStyle name="Normal 4 2 2 2 2" xfId="192" xr:uid="{00000000-0005-0000-0000-000086100000}"/>
    <cellStyle name="Normal 4 2 2 2 2 2" xfId="3232" xr:uid="{00000000-0005-0000-0000-000087100000}"/>
    <cellStyle name="Normal 4 2 2 2 2 2 2" xfId="5086" xr:uid="{00000000-0005-0000-0000-000088100000}"/>
    <cellStyle name="Normal 4 2 2 2 2 3" xfId="3651" xr:uid="{00000000-0005-0000-0000-000089100000}"/>
    <cellStyle name="Normal 4 2 2 2 3" xfId="2375" xr:uid="{00000000-0005-0000-0000-00008A100000}"/>
    <cellStyle name="Normal 4 2 2 2 3 2" xfId="3297" xr:uid="{00000000-0005-0000-0000-00008B100000}"/>
    <cellStyle name="Normal 4 2 2 2 3 2 2" xfId="5150" xr:uid="{00000000-0005-0000-0000-00008C100000}"/>
    <cellStyle name="Normal 4 2 2 2 3 3" xfId="4255" xr:uid="{00000000-0005-0000-0000-00008D100000}"/>
    <cellStyle name="Normal 4 2 2 2 4" xfId="3088" xr:uid="{00000000-0005-0000-0000-00008E100000}"/>
    <cellStyle name="Normal 4 2 2 2 4 2" xfId="4942" xr:uid="{00000000-0005-0000-0000-00008F100000}"/>
    <cellStyle name="Normal 4 2 2 2 5" xfId="3442" xr:uid="{00000000-0005-0000-0000-000090100000}"/>
    <cellStyle name="Normal 4 2 2 2 5 2" xfId="5294" xr:uid="{00000000-0005-0000-0000-000091100000}"/>
    <cellStyle name="Normal 4 2 2 2 6" xfId="3507" xr:uid="{00000000-0005-0000-0000-000092100000}"/>
    <cellStyle name="Normal 4 2 2 2 7" xfId="5359" xr:uid="{00000000-0005-0000-0000-000093100000}"/>
    <cellStyle name="Normal 4 2 2 3" xfId="88" xr:uid="{00000000-0005-0000-0000-000094100000}"/>
    <cellStyle name="Normal 4 2 2 3 2" xfId="2415" xr:uid="{00000000-0005-0000-0000-000095100000}"/>
    <cellStyle name="Normal 4 2 2 3 2 2" xfId="3337" xr:uid="{00000000-0005-0000-0000-000096100000}"/>
    <cellStyle name="Normal 4 2 2 3 2 2 2" xfId="5190" xr:uid="{00000000-0005-0000-0000-000097100000}"/>
    <cellStyle name="Normal 4 2 2 3 2 3" xfId="4295" xr:uid="{00000000-0005-0000-0000-000098100000}"/>
    <cellStyle name="Normal 4 2 2 3 3" xfId="3128" xr:uid="{00000000-0005-0000-0000-000099100000}"/>
    <cellStyle name="Normal 4 2 2 3 3 2" xfId="4982" xr:uid="{00000000-0005-0000-0000-00009A100000}"/>
    <cellStyle name="Normal 4 2 2 3 4" xfId="3547" xr:uid="{00000000-0005-0000-0000-00009B100000}"/>
    <cellStyle name="Normal 4 2 2 4" xfId="100" xr:uid="{00000000-0005-0000-0000-00009C100000}"/>
    <cellStyle name="Normal 4 2 2 4 2" xfId="2427" xr:uid="{00000000-0005-0000-0000-00009D100000}"/>
    <cellStyle name="Normal 4 2 2 4 2 2" xfId="3349" xr:uid="{00000000-0005-0000-0000-00009E100000}"/>
    <cellStyle name="Normal 4 2 2 4 2 2 2" xfId="5202" xr:uid="{00000000-0005-0000-0000-00009F100000}"/>
    <cellStyle name="Normal 4 2 2 4 2 3" xfId="4307" xr:uid="{00000000-0005-0000-0000-0000A0100000}"/>
    <cellStyle name="Normal 4 2 2 4 3" xfId="3140" xr:uid="{00000000-0005-0000-0000-0000A1100000}"/>
    <cellStyle name="Normal 4 2 2 4 3 2" xfId="4994" xr:uid="{00000000-0005-0000-0000-0000A2100000}"/>
    <cellStyle name="Normal 4 2 2 4 4" xfId="3559" xr:uid="{00000000-0005-0000-0000-0000A3100000}"/>
    <cellStyle name="Normal 4 2 2 5" xfId="126" xr:uid="{00000000-0005-0000-0000-0000A4100000}"/>
    <cellStyle name="Normal 4 2 2 5 2" xfId="2453" xr:uid="{00000000-0005-0000-0000-0000A5100000}"/>
    <cellStyle name="Normal 4 2 2 5 2 2" xfId="3375" xr:uid="{00000000-0005-0000-0000-0000A6100000}"/>
    <cellStyle name="Normal 4 2 2 5 2 2 2" xfId="5228" xr:uid="{00000000-0005-0000-0000-0000A7100000}"/>
    <cellStyle name="Normal 4 2 2 5 2 3" xfId="4333" xr:uid="{00000000-0005-0000-0000-0000A8100000}"/>
    <cellStyle name="Normal 4 2 2 5 3" xfId="3166" xr:uid="{00000000-0005-0000-0000-0000A9100000}"/>
    <cellStyle name="Normal 4 2 2 5 3 2" xfId="5020" xr:uid="{00000000-0005-0000-0000-0000AA100000}"/>
    <cellStyle name="Normal 4 2 2 5 4" xfId="3585" xr:uid="{00000000-0005-0000-0000-0000AB100000}"/>
    <cellStyle name="Normal 4 2 2 6" xfId="162" xr:uid="{00000000-0005-0000-0000-0000AC100000}"/>
    <cellStyle name="Normal 4 2 2 6 2" xfId="3202" xr:uid="{00000000-0005-0000-0000-0000AD100000}"/>
    <cellStyle name="Normal 4 2 2 6 2 2" xfId="5056" xr:uid="{00000000-0005-0000-0000-0000AE100000}"/>
    <cellStyle name="Normal 4 2 2 6 3" xfId="3621" xr:uid="{00000000-0005-0000-0000-0000AF100000}"/>
    <cellStyle name="Normal 4 2 2 7" xfId="2345" xr:uid="{00000000-0005-0000-0000-0000B0100000}"/>
    <cellStyle name="Normal 4 2 2 7 2" xfId="3267" xr:uid="{00000000-0005-0000-0000-0000B1100000}"/>
    <cellStyle name="Normal 4 2 2 7 2 2" xfId="5120" xr:uid="{00000000-0005-0000-0000-0000B2100000}"/>
    <cellStyle name="Normal 4 2 2 7 3" xfId="4225" xr:uid="{00000000-0005-0000-0000-0000B3100000}"/>
    <cellStyle name="Normal 4 2 2 8" xfId="3058" xr:uid="{00000000-0005-0000-0000-0000B4100000}"/>
    <cellStyle name="Normal 4 2 2 8 2" xfId="4912" xr:uid="{00000000-0005-0000-0000-0000B5100000}"/>
    <cellStyle name="Normal 4 2 2 9" xfId="3412" xr:uid="{00000000-0005-0000-0000-0000B6100000}"/>
    <cellStyle name="Normal 4 2 2 9 2" xfId="5264" xr:uid="{00000000-0005-0000-0000-0000B7100000}"/>
    <cellStyle name="Normal 4 2 20" xfId="5321" xr:uid="{00000000-0005-0000-0000-0000B8100000}"/>
    <cellStyle name="Normal 4 2 3" xfId="24" xr:uid="{00000000-0005-0000-0000-0000B9100000}"/>
    <cellStyle name="Normal 4 2 3 10" xfId="5335" xr:uid="{00000000-0005-0000-0000-0000BA100000}"/>
    <cellStyle name="Normal 4 2 3 2" xfId="54" xr:uid="{00000000-0005-0000-0000-0000BB100000}"/>
    <cellStyle name="Normal 4 2 3 2 2" xfId="198" xr:uid="{00000000-0005-0000-0000-0000BC100000}"/>
    <cellStyle name="Normal 4 2 3 2 2 2" xfId="3238" xr:uid="{00000000-0005-0000-0000-0000BD100000}"/>
    <cellStyle name="Normal 4 2 3 2 2 2 2" xfId="5092" xr:uid="{00000000-0005-0000-0000-0000BE100000}"/>
    <cellStyle name="Normal 4 2 3 2 2 3" xfId="3657" xr:uid="{00000000-0005-0000-0000-0000BF100000}"/>
    <cellStyle name="Normal 4 2 3 2 3" xfId="2381" xr:uid="{00000000-0005-0000-0000-0000C0100000}"/>
    <cellStyle name="Normal 4 2 3 2 3 2" xfId="3303" xr:uid="{00000000-0005-0000-0000-0000C1100000}"/>
    <cellStyle name="Normal 4 2 3 2 3 2 2" xfId="5156" xr:uid="{00000000-0005-0000-0000-0000C2100000}"/>
    <cellStyle name="Normal 4 2 3 2 3 3" xfId="4261" xr:uid="{00000000-0005-0000-0000-0000C3100000}"/>
    <cellStyle name="Normal 4 2 3 2 4" xfId="3094" xr:uid="{00000000-0005-0000-0000-0000C4100000}"/>
    <cellStyle name="Normal 4 2 3 2 4 2" xfId="4948" xr:uid="{00000000-0005-0000-0000-0000C5100000}"/>
    <cellStyle name="Normal 4 2 3 2 5" xfId="3448" xr:uid="{00000000-0005-0000-0000-0000C6100000}"/>
    <cellStyle name="Normal 4 2 3 2 5 2" xfId="5300" xr:uid="{00000000-0005-0000-0000-0000C7100000}"/>
    <cellStyle name="Normal 4 2 3 2 6" xfId="3513" xr:uid="{00000000-0005-0000-0000-0000C8100000}"/>
    <cellStyle name="Normal 4 2 3 2 7" xfId="5365" xr:uid="{00000000-0005-0000-0000-0000C9100000}"/>
    <cellStyle name="Normal 4 2 3 3" xfId="106" xr:uid="{00000000-0005-0000-0000-0000CA100000}"/>
    <cellStyle name="Normal 4 2 3 3 2" xfId="2433" xr:uid="{00000000-0005-0000-0000-0000CB100000}"/>
    <cellStyle name="Normal 4 2 3 3 2 2" xfId="3355" xr:uid="{00000000-0005-0000-0000-0000CC100000}"/>
    <cellStyle name="Normal 4 2 3 3 2 2 2" xfId="5208" xr:uid="{00000000-0005-0000-0000-0000CD100000}"/>
    <cellStyle name="Normal 4 2 3 3 2 3" xfId="4313" xr:uid="{00000000-0005-0000-0000-0000CE100000}"/>
    <cellStyle name="Normal 4 2 3 3 3" xfId="3146" xr:uid="{00000000-0005-0000-0000-0000CF100000}"/>
    <cellStyle name="Normal 4 2 3 3 3 2" xfId="5000" xr:uid="{00000000-0005-0000-0000-0000D0100000}"/>
    <cellStyle name="Normal 4 2 3 3 4" xfId="3565" xr:uid="{00000000-0005-0000-0000-0000D1100000}"/>
    <cellStyle name="Normal 4 2 3 4" xfId="132" xr:uid="{00000000-0005-0000-0000-0000D2100000}"/>
    <cellStyle name="Normal 4 2 3 4 2" xfId="2459" xr:uid="{00000000-0005-0000-0000-0000D3100000}"/>
    <cellStyle name="Normal 4 2 3 4 2 2" xfId="3381" xr:uid="{00000000-0005-0000-0000-0000D4100000}"/>
    <cellStyle name="Normal 4 2 3 4 2 2 2" xfId="5234" xr:uid="{00000000-0005-0000-0000-0000D5100000}"/>
    <cellStyle name="Normal 4 2 3 4 2 3" xfId="4339" xr:uid="{00000000-0005-0000-0000-0000D6100000}"/>
    <cellStyle name="Normal 4 2 3 4 3" xfId="3172" xr:uid="{00000000-0005-0000-0000-0000D7100000}"/>
    <cellStyle name="Normal 4 2 3 4 3 2" xfId="5026" xr:uid="{00000000-0005-0000-0000-0000D8100000}"/>
    <cellStyle name="Normal 4 2 3 4 4" xfId="3591" xr:uid="{00000000-0005-0000-0000-0000D9100000}"/>
    <cellStyle name="Normal 4 2 3 5" xfId="168" xr:uid="{00000000-0005-0000-0000-0000DA100000}"/>
    <cellStyle name="Normal 4 2 3 5 2" xfId="3208" xr:uid="{00000000-0005-0000-0000-0000DB100000}"/>
    <cellStyle name="Normal 4 2 3 5 2 2" xfId="5062" xr:uid="{00000000-0005-0000-0000-0000DC100000}"/>
    <cellStyle name="Normal 4 2 3 5 3" xfId="3627" xr:uid="{00000000-0005-0000-0000-0000DD100000}"/>
    <cellStyle name="Normal 4 2 3 6" xfId="2351" xr:uid="{00000000-0005-0000-0000-0000DE100000}"/>
    <cellStyle name="Normal 4 2 3 6 2" xfId="3273" xr:uid="{00000000-0005-0000-0000-0000DF100000}"/>
    <cellStyle name="Normal 4 2 3 6 2 2" xfId="5126" xr:uid="{00000000-0005-0000-0000-0000E0100000}"/>
    <cellStyle name="Normal 4 2 3 6 3" xfId="4231" xr:uid="{00000000-0005-0000-0000-0000E1100000}"/>
    <cellStyle name="Normal 4 2 3 7" xfId="3064" xr:uid="{00000000-0005-0000-0000-0000E2100000}"/>
    <cellStyle name="Normal 4 2 3 7 2" xfId="4918" xr:uid="{00000000-0005-0000-0000-0000E3100000}"/>
    <cellStyle name="Normal 4 2 3 8" xfId="3418" xr:uid="{00000000-0005-0000-0000-0000E4100000}"/>
    <cellStyle name="Normal 4 2 3 8 2" xfId="5270" xr:uid="{00000000-0005-0000-0000-0000E5100000}"/>
    <cellStyle name="Normal 4 2 3 9" xfId="3483" xr:uid="{00000000-0005-0000-0000-0000E6100000}"/>
    <cellStyle name="Normal 4 2 4" xfId="28" xr:uid="{00000000-0005-0000-0000-0000E7100000}"/>
    <cellStyle name="Normal 4 2 4 10" xfId="5339" xr:uid="{00000000-0005-0000-0000-0000E8100000}"/>
    <cellStyle name="Normal 4 2 4 2" xfId="58" xr:uid="{00000000-0005-0000-0000-0000E9100000}"/>
    <cellStyle name="Normal 4 2 4 2 2" xfId="202" xr:uid="{00000000-0005-0000-0000-0000EA100000}"/>
    <cellStyle name="Normal 4 2 4 2 2 2" xfId="3242" xr:uid="{00000000-0005-0000-0000-0000EB100000}"/>
    <cellStyle name="Normal 4 2 4 2 2 2 2" xfId="5096" xr:uid="{00000000-0005-0000-0000-0000EC100000}"/>
    <cellStyle name="Normal 4 2 4 2 2 3" xfId="3661" xr:uid="{00000000-0005-0000-0000-0000ED100000}"/>
    <cellStyle name="Normal 4 2 4 2 3" xfId="2385" xr:uid="{00000000-0005-0000-0000-0000EE100000}"/>
    <cellStyle name="Normal 4 2 4 2 3 2" xfId="3307" xr:uid="{00000000-0005-0000-0000-0000EF100000}"/>
    <cellStyle name="Normal 4 2 4 2 3 2 2" xfId="5160" xr:uid="{00000000-0005-0000-0000-0000F0100000}"/>
    <cellStyle name="Normal 4 2 4 2 3 3" xfId="4265" xr:uid="{00000000-0005-0000-0000-0000F1100000}"/>
    <cellStyle name="Normal 4 2 4 2 4" xfId="3098" xr:uid="{00000000-0005-0000-0000-0000F2100000}"/>
    <cellStyle name="Normal 4 2 4 2 4 2" xfId="4952" xr:uid="{00000000-0005-0000-0000-0000F3100000}"/>
    <cellStyle name="Normal 4 2 4 2 5" xfId="3452" xr:uid="{00000000-0005-0000-0000-0000F4100000}"/>
    <cellStyle name="Normal 4 2 4 2 5 2" xfId="5304" xr:uid="{00000000-0005-0000-0000-0000F5100000}"/>
    <cellStyle name="Normal 4 2 4 2 6" xfId="3517" xr:uid="{00000000-0005-0000-0000-0000F6100000}"/>
    <cellStyle name="Normal 4 2 4 2 7" xfId="5369" xr:uid="{00000000-0005-0000-0000-0000F7100000}"/>
    <cellStyle name="Normal 4 2 4 3" xfId="110" xr:uid="{00000000-0005-0000-0000-0000F8100000}"/>
    <cellStyle name="Normal 4 2 4 3 2" xfId="2437" xr:uid="{00000000-0005-0000-0000-0000F9100000}"/>
    <cellStyle name="Normal 4 2 4 3 2 2" xfId="3359" xr:uid="{00000000-0005-0000-0000-0000FA100000}"/>
    <cellStyle name="Normal 4 2 4 3 2 2 2" xfId="5212" xr:uid="{00000000-0005-0000-0000-0000FB100000}"/>
    <cellStyle name="Normal 4 2 4 3 2 3" xfId="4317" xr:uid="{00000000-0005-0000-0000-0000FC100000}"/>
    <cellStyle name="Normal 4 2 4 3 3" xfId="3150" xr:uid="{00000000-0005-0000-0000-0000FD100000}"/>
    <cellStyle name="Normal 4 2 4 3 3 2" xfId="5004" xr:uid="{00000000-0005-0000-0000-0000FE100000}"/>
    <cellStyle name="Normal 4 2 4 3 4" xfId="3569" xr:uid="{00000000-0005-0000-0000-0000FF100000}"/>
    <cellStyle name="Normal 4 2 4 4" xfId="136" xr:uid="{00000000-0005-0000-0000-000000110000}"/>
    <cellStyle name="Normal 4 2 4 4 2" xfId="2463" xr:uid="{00000000-0005-0000-0000-000001110000}"/>
    <cellStyle name="Normal 4 2 4 4 2 2" xfId="3385" xr:uid="{00000000-0005-0000-0000-000002110000}"/>
    <cellStyle name="Normal 4 2 4 4 2 2 2" xfId="5238" xr:uid="{00000000-0005-0000-0000-000003110000}"/>
    <cellStyle name="Normal 4 2 4 4 2 3" xfId="4343" xr:uid="{00000000-0005-0000-0000-000004110000}"/>
    <cellStyle name="Normal 4 2 4 4 3" xfId="3176" xr:uid="{00000000-0005-0000-0000-000005110000}"/>
    <cellStyle name="Normal 4 2 4 4 3 2" xfId="5030" xr:uid="{00000000-0005-0000-0000-000006110000}"/>
    <cellStyle name="Normal 4 2 4 4 4" xfId="3595" xr:uid="{00000000-0005-0000-0000-000007110000}"/>
    <cellStyle name="Normal 4 2 4 5" xfId="172" xr:uid="{00000000-0005-0000-0000-000008110000}"/>
    <cellStyle name="Normal 4 2 4 5 2" xfId="3212" xr:uid="{00000000-0005-0000-0000-000009110000}"/>
    <cellStyle name="Normal 4 2 4 5 2 2" xfId="5066" xr:uid="{00000000-0005-0000-0000-00000A110000}"/>
    <cellStyle name="Normal 4 2 4 5 3" xfId="3631" xr:uid="{00000000-0005-0000-0000-00000B110000}"/>
    <cellStyle name="Normal 4 2 4 6" xfId="2355" xr:uid="{00000000-0005-0000-0000-00000C110000}"/>
    <cellStyle name="Normal 4 2 4 6 2" xfId="3277" xr:uid="{00000000-0005-0000-0000-00000D110000}"/>
    <cellStyle name="Normal 4 2 4 6 2 2" xfId="5130" xr:uid="{00000000-0005-0000-0000-00000E110000}"/>
    <cellStyle name="Normal 4 2 4 6 3" xfId="4235" xr:uid="{00000000-0005-0000-0000-00000F110000}"/>
    <cellStyle name="Normal 4 2 4 7" xfId="3068" xr:uid="{00000000-0005-0000-0000-000010110000}"/>
    <cellStyle name="Normal 4 2 4 7 2" xfId="4922" xr:uid="{00000000-0005-0000-0000-000011110000}"/>
    <cellStyle name="Normal 4 2 4 8" xfId="3422" xr:uid="{00000000-0005-0000-0000-000012110000}"/>
    <cellStyle name="Normal 4 2 4 8 2" xfId="5274" xr:uid="{00000000-0005-0000-0000-000013110000}"/>
    <cellStyle name="Normal 4 2 4 9" xfId="3487" xr:uid="{00000000-0005-0000-0000-000014110000}"/>
    <cellStyle name="Normal 4 2 5" xfId="36" xr:uid="{00000000-0005-0000-0000-000015110000}"/>
    <cellStyle name="Normal 4 2 5 2" xfId="66" xr:uid="{00000000-0005-0000-0000-000016110000}"/>
    <cellStyle name="Normal 4 2 5 2 2" xfId="210" xr:uid="{00000000-0005-0000-0000-000017110000}"/>
    <cellStyle name="Normal 4 2 5 2 2 2" xfId="3250" xr:uid="{00000000-0005-0000-0000-000018110000}"/>
    <cellStyle name="Normal 4 2 5 2 2 2 2" xfId="5104" xr:uid="{00000000-0005-0000-0000-000019110000}"/>
    <cellStyle name="Normal 4 2 5 2 2 3" xfId="3669" xr:uid="{00000000-0005-0000-0000-00001A110000}"/>
    <cellStyle name="Normal 4 2 5 2 3" xfId="2393" xr:uid="{00000000-0005-0000-0000-00001B110000}"/>
    <cellStyle name="Normal 4 2 5 2 3 2" xfId="3315" xr:uid="{00000000-0005-0000-0000-00001C110000}"/>
    <cellStyle name="Normal 4 2 5 2 3 2 2" xfId="5168" xr:uid="{00000000-0005-0000-0000-00001D110000}"/>
    <cellStyle name="Normal 4 2 5 2 3 3" xfId="4273" xr:uid="{00000000-0005-0000-0000-00001E110000}"/>
    <cellStyle name="Normal 4 2 5 2 4" xfId="3106" xr:uid="{00000000-0005-0000-0000-00001F110000}"/>
    <cellStyle name="Normal 4 2 5 2 4 2" xfId="4960" xr:uid="{00000000-0005-0000-0000-000020110000}"/>
    <cellStyle name="Normal 4 2 5 2 5" xfId="3460" xr:uid="{00000000-0005-0000-0000-000021110000}"/>
    <cellStyle name="Normal 4 2 5 2 5 2" xfId="5312" xr:uid="{00000000-0005-0000-0000-000022110000}"/>
    <cellStyle name="Normal 4 2 5 2 6" xfId="3525" xr:uid="{00000000-0005-0000-0000-000023110000}"/>
    <cellStyle name="Normal 4 2 5 2 7" xfId="5377" xr:uid="{00000000-0005-0000-0000-000024110000}"/>
    <cellStyle name="Normal 4 2 5 3" xfId="144" xr:uid="{00000000-0005-0000-0000-000025110000}"/>
    <cellStyle name="Normal 4 2 5 3 2" xfId="2471" xr:uid="{00000000-0005-0000-0000-000026110000}"/>
    <cellStyle name="Normal 4 2 5 3 2 2" xfId="3393" xr:uid="{00000000-0005-0000-0000-000027110000}"/>
    <cellStyle name="Normal 4 2 5 3 2 2 2" xfId="5246" xr:uid="{00000000-0005-0000-0000-000028110000}"/>
    <cellStyle name="Normal 4 2 5 3 2 3" xfId="4351" xr:uid="{00000000-0005-0000-0000-000029110000}"/>
    <cellStyle name="Normal 4 2 5 3 3" xfId="3184" xr:uid="{00000000-0005-0000-0000-00002A110000}"/>
    <cellStyle name="Normal 4 2 5 3 3 2" xfId="5038" xr:uid="{00000000-0005-0000-0000-00002B110000}"/>
    <cellStyle name="Normal 4 2 5 3 4" xfId="3603" xr:uid="{00000000-0005-0000-0000-00002C110000}"/>
    <cellStyle name="Normal 4 2 5 4" xfId="180" xr:uid="{00000000-0005-0000-0000-00002D110000}"/>
    <cellStyle name="Normal 4 2 5 4 2" xfId="3220" xr:uid="{00000000-0005-0000-0000-00002E110000}"/>
    <cellStyle name="Normal 4 2 5 4 2 2" xfId="5074" xr:uid="{00000000-0005-0000-0000-00002F110000}"/>
    <cellStyle name="Normal 4 2 5 4 3" xfId="3639" xr:uid="{00000000-0005-0000-0000-000030110000}"/>
    <cellStyle name="Normal 4 2 5 5" xfId="2363" xr:uid="{00000000-0005-0000-0000-000031110000}"/>
    <cellStyle name="Normal 4 2 5 5 2" xfId="3285" xr:uid="{00000000-0005-0000-0000-000032110000}"/>
    <cellStyle name="Normal 4 2 5 5 2 2" xfId="5138" xr:uid="{00000000-0005-0000-0000-000033110000}"/>
    <cellStyle name="Normal 4 2 5 5 3" xfId="4243" xr:uid="{00000000-0005-0000-0000-000034110000}"/>
    <cellStyle name="Normal 4 2 5 6" xfId="3076" xr:uid="{00000000-0005-0000-0000-000035110000}"/>
    <cellStyle name="Normal 4 2 5 6 2" xfId="4930" xr:uid="{00000000-0005-0000-0000-000036110000}"/>
    <cellStyle name="Normal 4 2 5 7" xfId="3430" xr:uid="{00000000-0005-0000-0000-000037110000}"/>
    <cellStyle name="Normal 4 2 5 7 2" xfId="5282" xr:uid="{00000000-0005-0000-0000-000038110000}"/>
    <cellStyle name="Normal 4 2 5 8" xfId="3495" xr:uid="{00000000-0005-0000-0000-000039110000}"/>
    <cellStyle name="Normal 4 2 5 9" xfId="5347" xr:uid="{00000000-0005-0000-0000-00003A110000}"/>
    <cellStyle name="Normal 4 2 6" xfId="40" xr:uid="{00000000-0005-0000-0000-00003B110000}"/>
    <cellStyle name="Normal 4 2 6 2" xfId="184" xr:uid="{00000000-0005-0000-0000-00003C110000}"/>
    <cellStyle name="Normal 4 2 6 2 2" xfId="3224" xr:uid="{00000000-0005-0000-0000-00003D110000}"/>
    <cellStyle name="Normal 4 2 6 2 2 2" xfId="5078" xr:uid="{00000000-0005-0000-0000-00003E110000}"/>
    <cellStyle name="Normal 4 2 6 2 3" xfId="3643" xr:uid="{00000000-0005-0000-0000-00003F110000}"/>
    <cellStyle name="Normal 4 2 6 3" xfId="2367" xr:uid="{00000000-0005-0000-0000-000040110000}"/>
    <cellStyle name="Normal 4 2 6 3 2" xfId="3289" xr:uid="{00000000-0005-0000-0000-000041110000}"/>
    <cellStyle name="Normal 4 2 6 3 2 2" xfId="5142" xr:uid="{00000000-0005-0000-0000-000042110000}"/>
    <cellStyle name="Normal 4 2 6 3 3" xfId="4247" xr:uid="{00000000-0005-0000-0000-000043110000}"/>
    <cellStyle name="Normal 4 2 6 4" xfId="3080" xr:uid="{00000000-0005-0000-0000-000044110000}"/>
    <cellStyle name="Normal 4 2 6 4 2" xfId="4934" xr:uid="{00000000-0005-0000-0000-000045110000}"/>
    <cellStyle name="Normal 4 2 6 5" xfId="3434" xr:uid="{00000000-0005-0000-0000-000046110000}"/>
    <cellStyle name="Normal 4 2 6 5 2" xfId="5286" xr:uid="{00000000-0005-0000-0000-000047110000}"/>
    <cellStyle name="Normal 4 2 6 6" xfId="3499" xr:uid="{00000000-0005-0000-0000-000048110000}"/>
    <cellStyle name="Normal 4 2 6 7" xfId="5351" xr:uid="{00000000-0005-0000-0000-000049110000}"/>
    <cellStyle name="Normal 4 2 7" xfId="72" xr:uid="{00000000-0005-0000-0000-00004A110000}"/>
    <cellStyle name="Normal 4 2 7 2" xfId="2399" xr:uid="{00000000-0005-0000-0000-00004B110000}"/>
    <cellStyle name="Normal 4 2 7 2 2" xfId="3321" xr:uid="{00000000-0005-0000-0000-00004C110000}"/>
    <cellStyle name="Normal 4 2 7 2 2 2" xfId="5174" xr:uid="{00000000-0005-0000-0000-00004D110000}"/>
    <cellStyle name="Normal 4 2 7 2 3" xfId="4279" xr:uid="{00000000-0005-0000-0000-00004E110000}"/>
    <cellStyle name="Normal 4 2 7 3" xfId="3112" xr:uid="{00000000-0005-0000-0000-00004F110000}"/>
    <cellStyle name="Normal 4 2 7 3 2" xfId="4966" xr:uid="{00000000-0005-0000-0000-000050110000}"/>
    <cellStyle name="Normal 4 2 7 4" xfId="3531" xr:uid="{00000000-0005-0000-0000-000051110000}"/>
    <cellStyle name="Normal 4 2 7 5" xfId="5383" xr:uid="{00000000-0005-0000-0000-000052110000}"/>
    <cellStyle name="Normal 4 2 8" xfId="80" xr:uid="{00000000-0005-0000-0000-000053110000}"/>
    <cellStyle name="Normal 4 2 8 2" xfId="2407" xr:uid="{00000000-0005-0000-0000-000054110000}"/>
    <cellStyle name="Normal 4 2 8 2 2" xfId="3329" xr:uid="{00000000-0005-0000-0000-000055110000}"/>
    <cellStyle name="Normal 4 2 8 2 2 2" xfId="5182" xr:uid="{00000000-0005-0000-0000-000056110000}"/>
    <cellStyle name="Normal 4 2 8 2 3" xfId="4287" xr:uid="{00000000-0005-0000-0000-000057110000}"/>
    <cellStyle name="Normal 4 2 8 3" xfId="3120" xr:uid="{00000000-0005-0000-0000-000058110000}"/>
    <cellStyle name="Normal 4 2 8 3 2" xfId="4974" xr:uid="{00000000-0005-0000-0000-000059110000}"/>
    <cellStyle name="Normal 4 2 8 4" xfId="3539" xr:uid="{00000000-0005-0000-0000-00005A110000}"/>
    <cellStyle name="Normal 4 2 9" xfId="92" xr:uid="{00000000-0005-0000-0000-00005B110000}"/>
    <cellStyle name="Normal 4 2 9 2" xfId="2419" xr:uid="{00000000-0005-0000-0000-00005C110000}"/>
    <cellStyle name="Normal 4 2 9 2 2" xfId="3341" xr:uid="{00000000-0005-0000-0000-00005D110000}"/>
    <cellStyle name="Normal 4 2 9 2 2 2" xfId="5194" xr:uid="{00000000-0005-0000-0000-00005E110000}"/>
    <cellStyle name="Normal 4 2 9 2 3" xfId="4299" xr:uid="{00000000-0005-0000-0000-00005F110000}"/>
    <cellStyle name="Normal 4 2 9 3" xfId="3132" xr:uid="{00000000-0005-0000-0000-000060110000}"/>
    <cellStyle name="Normal 4 2 9 3 2" xfId="4986" xr:uid="{00000000-0005-0000-0000-000061110000}"/>
    <cellStyle name="Normal 4 2 9 4" xfId="3551" xr:uid="{00000000-0005-0000-0000-000062110000}"/>
    <cellStyle name="Normal 4 20" xfId="148" xr:uid="{00000000-0005-0000-0000-000063110000}"/>
    <cellStyle name="Normal 4 20 2" xfId="3188" xr:uid="{00000000-0005-0000-0000-000064110000}"/>
    <cellStyle name="Normal 4 20 2 2" xfId="5042" xr:uid="{00000000-0005-0000-0000-000065110000}"/>
    <cellStyle name="Normal 4 20 3" xfId="3607" xr:uid="{00000000-0005-0000-0000-000066110000}"/>
    <cellStyle name="Normal 4 21" xfId="152" xr:uid="{00000000-0005-0000-0000-000067110000}"/>
    <cellStyle name="Normal 4 21 2" xfId="3192" xr:uid="{00000000-0005-0000-0000-000068110000}"/>
    <cellStyle name="Normal 4 21 2 2" xfId="5046" xr:uid="{00000000-0005-0000-0000-000069110000}"/>
    <cellStyle name="Normal 4 21 3" xfId="3611" xr:uid="{00000000-0005-0000-0000-00006A110000}"/>
    <cellStyle name="Normal 4 22" xfId="1849" xr:uid="{00000000-0005-0000-0000-00006B110000}"/>
    <cellStyle name="Normal 4 22 2" xfId="5388" xr:uid="{00000000-0005-0000-0000-00006C110000}"/>
    <cellStyle name="Normal 4 23" xfId="2335" xr:uid="{00000000-0005-0000-0000-00006D110000}"/>
    <cellStyle name="Normal 4 23 2" xfId="3257" xr:uid="{00000000-0005-0000-0000-00006E110000}"/>
    <cellStyle name="Normal 4 23 2 2" xfId="5110" xr:uid="{00000000-0005-0000-0000-00006F110000}"/>
    <cellStyle name="Normal 4 23 3" xfId="4215" xr:uid="{00000000-0005-0000-0000-000070110000}"/>
    <cellStyle name="Normal 4 24" xfId="2476" xr:uid="{00000000-0005-0000-0000-000071110000}"/>
    <cellStyle name="Normal 4 24 2" xfId="3397" xr:uid="{00000000-0005-0000-0000-000072110000}"/>
    <cellStyle name="Normal 4 24 2 2" xfId="5250" xr:uid="{00000000-0005-0000-0000-000073110000}"/>
    <cellStyle name="Normal 4 24 3" xfId="4355" xr:uid="{00000000-0005-0000-0000-000074110000}"/>
    <cellStyle name="Normal 4 25" xfId="2900" xr:uid="{00000000-0005-0000-0000-000075110000}"/>
    <cellStyle name="Normal 4 25 2" xfId="4777" xr:uid="{00000000-0005-0000-0000-000076110000}"/>
    <cellStyle name="Normal 4 26" xfId="3047" xr:uid="{00000000-0005-0000-0000-000077110000}"/>
    <cellStyle name="Normal 4 26 2" xfId="4902" xr:uid="{00000000-0005-0000-0000-000078110000}"/>
    <cellStyle name="Normal 4 27" xfId="3402" xr:uid="{00000000-0005-0000-0000-000079110000}"/>
    <cellStyle name="Normal 4 27 2" xfId="5254" xr:uid="{00000000-0005-0000-0000-00007A110000}"/>
    <cellStyle name="Normal 4 28" xfId="3467" xr:uid="{00000000-0005-0000-0000-00007B110000}"/>
    <cellStyle name="Normal 4 29" xfId="5319" xr:uid="{00000000-0005-0000-0000-00007C110000}"/>
    <cellStyle name="Normal 4 3" xfId="12" xr:uid="{00000000-0005-0000-0000-00007D110000}"/>
    <cellStyle name="Normal 4 3 10" xfId="3471" xr:uid="{00000000-0005-0000-0000-00007E110000}"/>
    <cellStyle name="Normal 4 3 11" xfId="5323" xr:uid="{00000000-0005-0000-0000-00007F110000}"/>
    <cellStyle name="Normal 4 3 2" xfId="42" xr:uid="{00000000-0005-0000-0000-000080110000}"/>
    <cellStyle name="Normal 4 3 2 2" xfId="186" xr:uid="{00000000-0005-0000-0000-000081110000}"/>
    <cellStyle name="Normal 4 3 2 2 2" xfId="3226" xr:uid="{00000000-0005-0000-0000-000082110000}"/>
    <cellStyle name="Normal 4 3 2 2 2 2" xfId="5080" xr:uid="{00000000-0005-0000-0000-000083110000}"/>
    <cellStyle name="Normal 4 3 2 2 3" xfId="3645" xr:uid="{00000000-0005-0000-0000-000084110000}"/>
    <cellStyle name="Normal 4 3 2 3" xfId="2369" xr:uid="{00000000-0005-0000-0000-000085110000}"/>
    <cellStyle name="Normal 4 3 2 3 2" xfId="3291" xr:uid="{00000000-0005-0000-0000-000086110000}"/>
    <cellStyle name="Normal 4 3 2 3 2 2" xfId="5144" xr:uid="{00000000-0005-0000-0000-000087110000}"/>
    <cellStyle name="Normal 4 3 2 3 3" xfId="4249" xr:uid="{00000000-0005-0000-0000-000088110000}"/>
    <cellStyle name="Normal 4 3 2 4" xfId="3082" xr:uid="{00000000-0005-0000-0000-000089110000}"/>
    <cellStyle name="Normal 4 3 2 4 2" xfId="4936" xr:uid="{00000000-0005-0000-0000-00008A110000}"/>
    <cellStyle name="Normal 4 3 2 5" xfId="3436" xr:uid="{00000000-0005-0000-0000-00008B110000}"/>
    <cellStyle name="Normal 4 3 2 5 2" xfId="5288" xr:uid="{00000000-0005-0000-0000-00008C110000}"/>
    <cellStyle name="Normal 4 3 2 6" xfId="3501" xr:uid="{00000000-0005-0000-0000-00008D110000}"/>
    <cellStyle name="Normal 4 3 2 7" xfId="5353" xr:uid="{00000000-0005-0000-0000-00008E110000}"/>
    <cellStyle name="Normal 4 3 3" xfId="82" xr:uid="{00000000-0005-0000-0000-00008F110000}"/>
    <cellStyle name="Normal 4 3 3 2" xfId="2409" xr:uid="{00000000-0005-0000-0000-000090110000}"/>
    <cellStyle name="Normal 4 3 3 2 2" xfId="3331" xr:uid="{00000000-0005-0000-0000-000091110000}"/>
    <cellStyle name="Normal 4 3 3 2 2 2" xfId="5184" xr:uid="{00000000-0005-0000-0000-000092110000}"/>
    <cellStyle name="Normal 4 3 3 2 3" xfId="4289" xr:uid="{00000000-0005-0000-0000-000093110000}"/>
    <cellStyle name="Normal 4 3 3 3" xfId="3122" xr:uid="{00000000-0005-0000-0000-000094110000}"/>
    <cellStyle name="Normal 4 3 3 3 2" xfId="4976" xr:uid="{00000000-0005-0000-0000-000095110000}"/>
    <cellStyle name="Normal 4 3 3 4" xfId="3541" xr:uid="{00000000-0005-0000-0000-000096110000}"/>
    <cellStyle name="Normal 4 3 4" xfId="94" xr:uid="{00000000-0005-0000-0000-000097110000}"/>
    <cellStyle name="Normal 4 3 4 2" xfId="2421" xr:uid="{00000000-0005-0000-0000-000098110000}"/>
    <cellStyle name="Normal 4 3 4 2 2" xfId="3343" xr:uid="{00000000-0005-0000-0000-000099110000}"/>
    <cellStyle name="Normal 4 3 4 2 2 2" xfId="5196" xr:uid="{00000000-0005-0000-0000-00009A110000}"/>
    <cellStyle name="Normal 4 3 4 2 3" xfId="4301" xr:uid="{00000000-0005-0000-0000-00009B110000}"/>
    <cellStyle name="Normal 4 3 4 3" xfId="3134" xr:uid="{00000000-0005-0000-0000-00009C110000}"/>
    <cellStyle name="Normal 4 3 4 3 2" xfId="4988" xr:uid="{00000000-0005-0000-0000-00009D110000}"/>
    <cellStyle name="Normal 4 3 4 4" xfId="3553" xr:uid="{00000000-0005-0000-0000-00009E110000}"/>
    <cellStyle name="Normal 4 3 5" xfId="120" xr:uid="{00000000-0005-0000-0000-00009F110000}"/>
    <cellStyle name="Normal 4 3 5 2" xfId="2447" xr:uid="{00000000-0005-0000-0000-0000A0110000}"/>
    <cellStyle name="Normal 4 3 5 2 2" xfId="3369" xr:uid="{00000000-0005-0000-0000-0000A1110000}"/>
    <cellStyle name="Normal 4 3 5 2 2 2" xfId="5222" xr:uid="{00000000-0005-0000-0000-0000A2110000}"/>
    <cellStyle name="Normal 4 3 5 2 3" xfId="4327" xr:uid="{00000000-0005-0000-0000-0000A3110000}"/>
    <cellStyle name="Normal 4 3 5 3" xfId="3160" xr:uid="{00000000-0005-0000-0000-0000A4110000}"/>
    <cellStyle name="Normal 4 3 5 3 2" xfId="5014" xr:uid="{00000000-0005-0000-0000-0000A5110000}"/>
    <cellStyle name="Normal 4 3 5 4" xfId="3579" xr:uid="{00000000-0005-0000-0000-0000A6110000}"/>
    <cellStyle name="Normal 4 3 6" xfId="156" xr:uid="{00000000-0005-0000-0000-0000A7110000}"/>
    <cellStyle name="Normal 4 3 6 2" xfId="3196" xr:uid="{00000000-0005-0000-0000-0000A8110000}"/>
    <cellStyle name="Normal 4 3 6 2 2" xfId="5050" xr:uid="{00000000-0005-0000-0000-0000A9110000}"/>
    <cellStyle name="Normal 4 3 6 3" xfId="3615" xr:uid="{00000000-0005-0000-0000-0000AA110000}"/>
    <cellStyle name="Normal 4 3 7" xfId="2339" xr:uid="{00000000-0005-0000-0000-0000AB110000}"/>
    <cellStyle name="Normal 4 3 7 2" xfId="3261" xr:uid="{00000000-0005-0000-0000-0000AC110000}"/>
    <cellStyle name="Normal 4 3 7 2 2" xfId="5114" xr:uid="{00000000-0005-0000-0000-0000AD110000}"/>
    <cellStyle name="Normal 4 3 7 3" xfId="4219" xr:uid="{00000000-0005-0000-0000-0000AE110000}"/>
    <cellStyle name="Normal 4 3 8" xfId="3052" xr:uid="{00000000-0005-0000-0000-0000AF110000}"/>
    <cellStyle name="Normal 4 3 8 2" xfId="4906" xr:uid="{00000000-0005-0000-0000-0000B0110000}"/>
    <cellStyle name="Normal 4 3 9" xfId="3406" xr:uid="{00000000-0005-0000-0000-0000B1110000}"/>
    <cellStyle name="Normal 4 3 9 2" xfId="5258" xr:uid="{00000000-0005-0000-0000-0000B2110000}"/>
    <cellStyle name="Normal 4 30" xfId="5387" xr:uid="{00000000-0005-0000-0000-0000B3110000}"/>
    <cellStyle name="Normal 4 4" xfId="14" xr:uid="{00000000-0005-0000-0000-0000B4110000}"/>
    <cellStyle name="Normal 4 4 10" xfId="3473" xr:uid="{00000000-0005-0000-0000-0000B5110000}"/>
    <cellStyle name="Normal 4 4 11" xfId="5325" xr:uid="{00000000-0005-0000-0000-0000B6110000}"/>
    <cellStyle name="Normal 4 4 2" xfId="44" xr:uid="{00000000-0005-0000-0000-0000B7110000}"/>
    <cellStyle name="Normal 4 4 2 2" xfId="188" xr:uid="{00000000-0005-0000-0000-0000B8110000}"/>
    <cellStyle name="Normal 4 4 2 2 2" xfId="3228" xr:uid="{00000000-0005-0000-0000-0000B9110000}"/>
    <cellStyle name="Normal 4 4 2 2 2 2" xfId="5082" xr:uid="{00000000-0005-0000-0000-0000BA110000}"/>
    <cellStyle name="Normal 4 4 2 2 3" xfId="3647" xr:uid="{00000000-0005-0000-0000-0000BB110000}"/>
    <cellStyle name="Normal 4 4 2 3" xfId="2371" xr:uid="{00000000-0005-0000-0000-0000BC110000}"/>
    <cellStyle name="Normal 4 4 2 3 2" xfId="3293" xr:uid="{00000000-0005-0000-0000-0000BD110000}"/>
    <cellStyle name="Normal 4 4 2 3 2 2" xfId="5146" xr:uid="{00000000-0005-0000-0000-0000BE110000}"/>
    <cellStyle name="Normal 4 4 2 3 3" xfId="4251" xr:uid="{00000000-0005-0000-0000-0000BF110000}"/>
    <cellStyle name="Normal 4 4 2 4" xfId="3084" xr:uid="{00000000-0005-0000-0000-0000C0110000}"/>
    <cellStyle name="Normal 4 4 2 4 2" xfId="4938" xr:uid="{00000000-0005-0000-0000-0000C1110000}"/>
    <cellStyle name="Normal 4 4 2 5" xfId="3438" xr:uid="{00000000-0005-0000-0000-0000C2110000}"/>
    <cellStyle name="Normal 4 4 2 5 2" xfId="5290" xr:uid="{00000000-0005-0000-0000-0000C3110000}"/>
    <cellStyle name="Normal 4 4 2 6" xfId="3503" xr:uid="{00000000-0005-0000-0000-0000C4110000}"/>
    <cellStyle name="Normal 4 4 2 7" xfId="5355" xr:uid="{00000000-0005-0000-0000-0000C5110000}"/>
    <cellStyle name="Normal 4 4 3" xfId="84" xr:uid="{00000000-0005-0000-0000-0000C6110000}"/>
    <cellStyle name="Normal 4 4 3 2" xfId="2411" xr:uid="{00000000-0005-0000-0000-0000C7110000}"/>
    <cellStyle name="Normal 4 4 3 2 2" xfId="3333" xr:uid="{00000000-0005-0000-0000-0000C8110000}"/>
    <cellStyle name="Normal 4 4 3 2 2 2" xfId="5186" xr:uid="{00000000-0005-0000-0000-0000C9110000}"/>
    <cellStyle name="Normal 4 4 3 2 3" xfId="4291" xr:uid="{00000000-0005-0000-0000-0000CA110000}"/>
    <cellStyle name="Normal 4 4 3 3" xfId="3124" xr:uid="{00000000-0005-0000-0000-0000CB110000}"/>
    <cellStyle name="Normal 4 4 3 3 2" xfId="4978" xr:uid="{00000000-0005-0000-0000-0000CC110000}"/>
    <cellStyle name="Normal 4 4 3 4" xfId="3543" xr:uid="{00000000-0005-0000-0000-0000CD110000}"/>
    <cellStyle name="Normal 4 4 4" xfId="96" xr:uid="{00000000-0005-0000-0000-0000CE110000}"/>
    <cellStyle name="Normal 4 4 4 2" xfId="2423" xr:uid="{00000000-0005-0000-0000-0000CF110000}"/>
    <cellStyle name="Normal 4 4 4 2 2" xfId="3345" xr:uid="{00000000-0005-0000-0000-0000D0110000}"/>
    <cellStyle name="Normal 4 4 4 2 2 2" xfId="5198" xr:uid="{00000000-0005-0000-0000-0000D1110000}"/>
    <cellStyle name="Normal 4 4 4 2 3" xfId="4303" xr:uid="{00000000-0005-0000-0000-0000D2110000}"/>
    <cellStyle name="Normal 4 4 4 3" xfId="3136" xr:uid="{00000000-0005-0000-0000-0000D3110000}"/>
    <cellStyle name="Normal 4 4 4 3 2" xfId="4990" xr:uid="{00000000-0005-0000-0000-0000D4110000}"/>
    <cellStyle name="Normal 4 4 4 4" xfId="3555" xr:uid="{00000000-0005-0000-0000-0000D5110000}"/>
    <cellStyle name="Normal 4 4 5" xfId="122" xr:uid="{00000000-0005-0000-0000-0000D6110000}"/>
    <cellStyle name="Normal 4 4 5 2" xfId="2449" xr:uid="{00000000-0005-0000-0000-0000D7110000}"/>
    <cellStyle name="Normal 4 4 5 2 2" xfId="3371" xr:uid="{00000000-0005-0000-0000-0000D8110000}"/>
    <cellStyle name="Normal 4 4 5 2 2 2" xfId="5224" xr:uid="{00000000-0005-0000-0000-0000D9110000}"/>
    <cellStyle name="Normal 4 4 5 2 3" xfId="4329" xr:uid="{00000000-0005-0000-0000-0000DA110000}"/>
    <cellStyle name="Normal 4 4 5 3" xfId="3162" xr:uid="{00000000-0005-0000-0000-0000DB110000}"/>
    <cellStyle name="Normal 4 4 5 3 2" xfId="5016" xr:uid="{00000000-0005-0000-0000-0000DC110000}"/>
    <cellStyle name="Normal 4 4 5 4" xfId="3581" xr:uid="{00000000-0005-0000-0000-0000DD110000}"/>
    <cellStyle name="Normal 4 4 6" xfId="158" xr:uid="{00000000-0005-0000-0000-0000DE110000}"/>
    <cellStyle name="Normal 4 4 6 2" xfId="3198" xr:uid="{00000000-0005-0000-0000-0000DF110000}"/>
    <cellStyle name="Normal 4 4 6 2 2" xfId="5052" xr:uid="{00000000-0005-0000-0000-0000E0110000}"/>
    <cellStyle name="Normal 4 4 6 3" xfId="3617" xr:uid="{00000000-0005-0000-0000-0000E1110000}"/>
    <cellStyle name="Normal 4 4 7" xfId="2341" xr:uid="{00000000-0005-0000-0000-0000E2110000}"/>
    <cellStyle name="Normal 4 4 7 2" xfId="3263" xr:uid="{00000000-0005-0000-0000-0000E3110000}"/>
    <cellStyle name="Normal 4 4 7 2 2" xfId="5116" xr:uid="{00000000-0005-0000-0000-0000E4110000}"/>
    <cellStyle name="Normal 4 4 7 3" xfId="4221" xr:uid="{00000000-0005-0000-0000-0000E5110000}"/>
    <cellStyle name="Normal 4 4 8" xfId="3054" xr:uid="{00000000-0005-0000-0000-0000E6110000}"/>
    <cellStyle name="Normal 4 4 8 2" xfId="4908" xr:uid="{00000000-0005-0000-0000-0000E7110000}"/>
    <cellStyle name="Normal 4 4 9" xfId="3408" xr:uid="{00000000-0005-0000-0000-0000E8110000}"/>
    <cellStyle name="Normal 4 4 9 2" xfId="5260" xr:uid="{00000000-0005-0000-0000-0000E9110000}"/>
    <cellStyle name="Normal 4 5" xfId="16" xr:uid="{00000000-0005-0000-0000-0000EA110000}"/>
    <cellStyle name="Normal 4 5 10" xfId="3475" xr:uid="{00000000-0005-0000-0000-0000EB110000}"/>
    <cellStyle name="Normal 4 5 11" xfId="5327" xr:uid="{00000000-0005-0000-0000-0000EC110000}"/>
    <cellStyle name="Normal 4 5 2" xfId="46" xr:uid="{00000000-0005-0000-0000-0000ED110000}"/>
    <cellStyle name="Normal 4 5 2 2" xfId="190" xr:uid="{00000000-0005-0000-0000-0000EE110000}"/>
    <cellStyle name="Normal 4 5 2 2 2" xfId="3230" xr:uid="{00000000-0005-0000-0000-0000EF110000}"/>
    <cellStyle name="Normal 4 5 2 2 2 2" xfId="5084" xr:uid="{00000000-0005-0000-0000-0000F0110000}"/>
    <cellStyle name="Normal 4 5 2 2 3" xfId="3649" xr:uid="{00000000-0005-0000-0000-0000F1110000}"/>
    <cellStyle name="Normal 4 5 2 3" xfId="2373" xr:uid="{00000000-0005-0000-0000-0000F2110000}"/>
    <cellStyle name="Normal 4 5 2 3 2" xfId="3295" xr:uid="{00000000-0005-0000-0000-0000F3110000}"/>
    <cellStyle name="Normal 4 5 2 3 2 2" xfId="5148" xr:uid="{00000000-0005-0000-0000-0000F4110000}"/>
    <cellStyle name="Normal 4 5 2 3 3" xfId="4253" xr:uid="{00000000-0005-0000-0000-0000F5110000}"/>
    <cellStyle name="Normal 4 5 2 4" xfId="3086" xr:uid="{00000000-0005-0000-0000-0000F6110000}"/>
    <cellStyle name="Normal 4 5 2 4 2" xfId="4940" xr:uid="{00000000-0005-0000-0000-0000F7110000}"/>
    <cellStyle name="Normal 4 5 2 5" xfId="3440" xr:uid="{00000000-0005-0000-0000-0000F8110000}"/>
    <cellStyle name="Normal 4 5 2 5 2" xfId="5292" xr:uid="{00000000-0005-0000-0000-0000F9110000}"/>
    <cellStyle name="Normal 4 5 2 6" xfId="3505" xr:uid="{00000000-0005-0000-0000-0000FA110000}"/>
    <cellStyle name="Normal 4 5 2 7" xfId="5357" xr:uid="{00000000-0005-0000-0000-0000FB110000}"/>
    <cellStyle name="Normal 4 5 3" xfId="86" xr:uid="{00000000-0005-0000-0000-0000FC110000}"/>
    <cellStyle name="Normal 4 5 3 2" xfId="2413" xr:uid="{00000000-0005-0000-0000-0000FD110000}"/>
    <cellStyle name="Normal 4 5 3 2 2" xfId="3335" xr:uid="{00000000-0005-0000-0000-0000FE110000}"/>
    <cellStyle name="Normal 4 5 3 2 2 2" xfId="5188" xr:uid="{00000000-0005-0000-0000-0000FF110000}"/>
    <cellStyle name="Normal 4 5 3 2 3" xfId="4293" xr:uid="{00000000-0005-0000-0000-000000120000}"/>
    <cellStyle name="Normal 4 5 3 3" xfId="3126" xr:uid="{00000000-0005-0000-0000-000001120000}"/>
    <cellStyle name="Normal 4 5 3 3 2" xfId="4980" xr:uid="{00000000-0005-0000-0000-000002120000}"/>
    <cellStyle name="Normal 4 5 3 4" xfId="3545" xr:uid="{00000000-0005-0000-0000-000003120000}"/>
    <cellStyle name="Normal 4 5 4" xfId="98" xr:uid="{00000000-0005-0000-0000-000004120000}"/>
    <cellStyle name="Normal 4 5 4 2" xfId="2425" xr:uid="{00000000-0005-0000-0000-000005120000}"/>
    <cellStyle name="Normal 4 5 4 2 2" xfId="3347" xr:uid="{00000000-0005-0000-0000-000006120000}"/>
    <cellStyle name="Normal 4 5 4 2 2 2" xfId="5200" xr:uid="{00000000-0005-0000-0000-000007120000}"/>
    <cellStyle name="Normal 4 5 4 2 3" xfId="4305" xr:uid="{00000000-0005-0000-0000-000008120000}"/>
    <cellStyle name="Normal 4 5 4 3" xfId="3138" xr:uid="{00000000-0005-0000-0000-000009120000}"/>
    <cellStyle name="Normal 4 5 4 3 2" xfId="4992" xr:uid="{00000000-0005-0000-0000-00000A120000}"/>
    <cellStyle name="Normal 4 5 4 4" xfId="3557" xr:uid="{00000000-0005-0000-0000-00000B120000}"/>
    <cellStyle name="Normal 4 5 5" xfId="124" xr:uid="{00000000-0005-0000-0000-00000C120000}"/>
    <cellStyle name="Normal 4 5 5 2" xfId="2451" xr:uid="{00000000-0005-0000-0000-00000D120000}"/>
    <cellStyle name="Normal 4 5 5 2 2" xfId="3373" xr:uid="{00000000-0005-0000-0000-00000E120000}"/>
    <cellStyle name="Normal 4 5 5 2 2 2" xfId="5226" xr:uid="{00000000-0005-0000-0000-00000F120000}"/>
    <cellStyle name="Normal 4 5 5 2 3" xfId="4331" xr:uid="{00000000-0005-0000-0000-000010120000}"/>
    <cellStyle name="Normal 4 5 5 3" xfId="3164" xr:uid="{00000000-0005-0000-0000-000011120000}"/>
    <cellStyle name="Normal 4 5 5 3 2" xfId="5018" xr:uid="{00000000-0005-0000-0000-000012120000}"/>
    <cellStyle name="Normal 4 5 5 4" xfId="3583" xr:uid="{00000000-0005-0000-0000-000013120000}"/>
    <cellStyle name="Normal 4 5 6" xfId="160" xr:uid="{00000000-0005-0000-0000-000014120000}"/>
    <cellStyle name="Normal 4 5 6 2" xfId="3200" xr:uid="{00000000-0005-0000-0000-000015120000}"/>
    <cellStyle name="Normal 4 5 6 2 2" xfId="5054" xr:uid="{00000000-0005-0000-0000-000016120000}"/>
    <cellStyle name="Normal 4 5 6 3" xfId="3619" xr:uid="{00000000-0005-0000-0000-000017120000}"/>
    <cellStyle name="Normal 4 5 7" xfId="2343" xr:uid="{00000000-0005-0000-0000-000018120000}"/>
    <cellStyle name="Normal 4 5 7 2" xfId="3265" xr:uid="{00000000-0005-0000-0000-000019120000}"/>
    <cellStyle name="Normal 4 5 7 2 2" xfId="5118" xr:uid="{00000000-0005-0000-0000-00001A120000}"/>
    <cellStyle name="Normal 4 5 7 3" xfId="4223" xr:uid="{00000000-0005-0000-0000-00001B120000}"/>
    <cellStyle name="Normal 4 5 8" xfId="3056" xr:uid="{00000000-0005-0000-0000-00001C120000}"/>
    <cellStyle name="Normal 4 5 8 2" xfId="4910" xr:uid="{00000000-0005-0000-0000-00001D120000}"/>
    <cellStyle name="Normal 4 5 9" xfId="3410" xr:uid="{00000000-0005-0000-0000-00001E120000}"/>
    <cellStyle name="Normal 4 5 9 2" xfId="5262" xr:uid="{00000000-0005-0000-0000-00001F120000}"/>
    <cellStyle name="Normal 4 6" xfId="20" xr:uid="{00000000-0005-0000-0000-000020120000}"/>
    <cellStyle name="Normal 4 6 10" xfId="5331" xr:uid="{00000000-0005-0000-0000-000021120000}"/>
    <cellStyle name="Normal 4 6 2" xfId="50" xr:uid="{00000000-0005-0000-0000-000022120000}"/>
    <cellStyle name="Normal 4 6 2 2" xfId="194" xr:uid="{00000000-0005-0000-0000-000023120000}"/>
    <cellStyle name="Normal 4 6 2 2 2" xfId="3234" xr:uid="{00000000-0005-0000-0000-000024120000}"/>
    <cellStyle name="Normal 4 6 2 2 2 2" xfId="5088" xr:uid="{00000000-0005-0000-0000-000025120000}"/>
    <cellStyle name="Normal 4 6 2 2 3" xfId="3653" xr:uid="{00000000-0005-0000-0000-000026120000}"/>
    <cellStyle name="Normal 4 6 2 3" xfId="2377" xr:uid="{00000000-0005-0000-0000-000027120000}"/>
    <cellStyle name="Normal 4 6 2 3 2" xfId="3299" xr:uid="{00000000-0005-0000-0000-000028120000}"/>
    <cellStyle name="Normal 4 6 2 3 2 2" xfId="5152" xr:uid="{00000000-0005-0000-0000-000029120000}"/>
    <cellStyle name="Normal 4 6 2 3 3" xfId="4257" xr:uid="{00000000-0005-0000-0000-00002A120000}"/>
    <cellStyle name="Normal 4 6 2 4" xfId="3090" xr:uid="{00000000-0005-0000-0000-00002B120000}"/>
    <cellStyle name="Normal 4 6 2 4 2" xfId="4944" xr:uid="{00000000-0005-0000-0000-00002C120000}"/>
    <cellStyle name="Normal 4 6 2 5" xfId="3444" xr:uid="{00000000-0005-0000-0000-00002D120000}"/>
    <cellStyle name="Normal 4 6 2 5 2" xfId="5296" xr:uid="{00000000-0005-0000-0000-00002E120000}"/>
    <cellStyle name="Normal 4 6 2 6" xfId="3509" xr:uid="{00000000-0005-0000-0000-00002F120000}"/>
    <cellStyle name="Normal 4 6 2 7" xfId="5361" xr:uid="{00000000-0005-0000-0000-000030120000}"/>
    <cellStyle name="Normal 4 6 3" xfId="102" xr:uid="{00000000-0005-0000-0000-000031120000}"/>
    <cellStyle name="Normal 4 6 3 2" xfId="2429" xr:uid="{00000000-0005-0000-0000-000032120000}"/>
    <cellStyle name="Normal 4 6 3 2 2" xfId="3351" xr:uid="{00000000-0005-0000-0000-000033120000}"/>
    <cellStyle name="Normal 4 6 3 2 2 2" xfId="5204" xr:uid="{00000000-0005-0000-0000-000034120000}"/>
    <cellStyle name="Normal 4 6 3 2 3" xfId="4309" xr:uid="{00000000-0005-0000-0000-000035120000}"/>
    <cellStyle name="Normal 4 6 3 3" xfId="3142" xr:uid="{00000000-0005-0000-0000-000036120000}"/>
    <cellStyle name="Normal 4 6 3 3 2" xfId="4996" xr:uid="{00000000-0005-0000-0000-000037120000}"/>
    <cellStyle name="Normal 4 6 3 4" xfId="3561" xr:uid="{00000000-0005-0000-0000-000038120000}"/>
    <cellStyle name="Normal 4 6 4" xfId="128" xr:uid="{00000000-0005-0000-0000-000039120000}"/>
    <cellStyle name="Normal 4 6 4 2" xfId="2455" xr:uid="{00000000-0005-0000-0000-00003A120000}"/>
    <cellStyle name="Normal 4 6 4 2 2" xfId="3377" xr:uid="{00000000-0005-0000-0000-00003B120000}"/>
    <cellStyle name="Normal 4 6 4 2 2 2" xfId="5230" xr:uid="{00000000-0005-0000-0000-00003C120000}"/>
    <cellStyle name="Normal 4 6 4 2 3" xfId="4335" xr:uid="{00000000-0005-0000-0000-00003D120000}"/>
    <cellStyle name="Normal 4 6 4 3" xfId="3168" xr:uid="{00000000-0005-0000-0000-00003E120000}"/>
    <cellStyle name="Normal 4 6 4 3 2" xfId="5022" xr:uid="{00000000-0005-0000-0000-00003F120000}"/>
    <cellStyle name="Normal 4 6 4 4" xfId="3587" xr:uid="{00000000-0005-0000-0000-000040120000}"/>
    <cellStyle name="Normal 4 6 5" xfId="164" xr:uid="{00000000-0005-0000-0000-000041120000}"/>
    <cellStyle name="Normal 4 6 5 2" xfId="3204" xr:uid="{00000000-0005-0000-0000-000042120000}"/>
    <cellStyle name="Normal 4 6 5 2 2" xfId="5058" xr:uid="{00000000-0005-0000-0000-000043120000}"/>
    <cellStyle name="Normal 4 6 5 3" xfId="3623" xr:uid="{00000000-0005-0000-0000-000044120000}"/>
    <cellStyle name="Normal 4 6 6" xfId="2347" xr:uid="{00000000-0005-0000-0000-000045120000}"/>
    <cellStyle name="Normal 4 6 6 2" xfId="3269" xr:uid="{00000000-0005-0000-0000-000046120000}"/>
    <cellStyle name="Normal 4 6 6 2 2" xfId="5122" xr:uid="{00000000-0005-0000-0000-000047120000}"/>
    <cellStyle name="Normal 4 6 6 3" xfId="4227" xr:uid="{00000000-0005-0000-0000-000048120000}"/>
    <cellStyle name="Normal 4 6 7" xfId="3060" xr:uid="{00000000-0005-0000-0000-000049120000}"/>
    <cellStyle name="Normal 4 6 7 2" xfId="4914" xr:uid="{00000000-0005-0000-0000-00004A120000}"/>
    <cellStyle name="Normal 4 6 8" xfId="3414" xr:uid="{00000000-0005-0000-0000-00004B120000}"/>
    <cellStyle name="Normal 4 6 8 2" xfId="5266" xr:uid="{00000000-0005-0000-0000-00004C120000}"/>
    <cellStyle name="Normal 4 6 9" xfId="3479" xr:uid="{00000000-0005-0000-0000-00004D120000}"/>
    <cellStyle name="Normal 4 7" xfId="22" xr:uid="{00000000-0005-0000-0000-00004E120000}"/>
    <cellStyle name="Normal 4 7 10" xfId="5333" xr:uid="{00000000-0005-0000-0000-00004F120000}"/>
    <cellStyle name="Normal 4 7 2" xfId="52" xr:uid="{00000000-0005-0000-0000-000050120000}"/>
    <cellStyle name="Normal 4 7 2 2" xfId="196" xr:uid="{00000000-0005-0000-0000-000051120000}"/>
    <cellStyle name="Normal 4 7 2 2 2" xfId="3236" xr:uid="{00000000-0005-0000-0000-000052120000}"/>
    <cellStyle name="Normal 4 7 2 2 2 2" xfId="5090" xr:uid="{00000000-0005-0000-0000-000053120000}"/>
    <cellStyle name="Normal 4 7 2 2 3" xfId="3655" xr:uid="{00000000-0005-0000-0000-000054120000}"/>
    <cellStyle name="Normal 4 7 2 3" xfId="2379" xr:uid="{00000000-0005-0000-0000-000055120000}"/>
    <cellStyle name="Normal 4 7 2 3 2" xfId="3301" xr:uid="{00000000-0005-0000-0000-000056120000}"/>
    <cellStyle name="Normal 4 7 2 3 2 2" xfId="5154" xr:uid="{00000000-0005-0000-0000-000057120000}"/>
    <cellStyle name="Normal 4 7 2 3 3" xfId="4259" xr:uid="{00000000-0005-0000-0000-000058120000}"/>
    <cellStyle name="Normal 4 7 2 4" xfId="3092" xr:uid="{00000000-0005-0000-0000-000059120000}"/>
    <cellStyle name="Normal 4 7 2 4 2" xfId="4946" xr:uid="{00000000-0005-0000-0000-00005A120000}"/>
    <cellStyle name="Normal 4 7 2 5" xfId="3446" xr:uid="{00000000-0005-0000-0000-00005B120000}"/>
    <cellStyle name="Normal 4 7 2 5 2" xfId="5298" xr:uid="{00000000-0005-0000-0000-00005C120000}"/>
    <cellStyle name="Normal 4 7 2 6" xfId="3511" xr:uid="{00000000-0005-0000-0000-00005D120000}"/>
    <cellStyle name="Normal 4 7 2 7" xfId="5363" xr:uid="{00000000-0005-0000-0000-00005E120000}"/>
    <cellStyle name="Normal 4 7 3" xfId="104" xr:uid="{00000000-0005-0000-0000-00005F120000}"/>
    <cellStyle name="Normal 4 7 3 2" xfId="2431" xr:uid="{00000000-0005-0000-0000-000060120000}"/>
    <cellStyle name="Normal 4 7 3 2 2" xfId="3353" xr:uid="{00000000-0005-0000-0000-000061120000}"/>
    <cellStyle name="Normal 4 7 3 2 2 2" xfId="5206" xr:uid="{00000000-0005-0000-0000-000062120000}"/>
    <cellStyle name="Normal 4 7 3 2 3" xfId="4311" xr:uid="{00000000-0005-0000-0000-000063120000}"/>
    <cellStyle name="Normal 4 7 3 3" xfId="3144" xr:uid="{00000000-0005-0000-0000-000064120000}"/>
    <cellStyle name="Normal 4 7 3 3 2" xfId="4998" xr:uid="{00000000-0005-0000-0000-000065120000}"/>
    <cellStyle name="Normal 4 7 3 4" xfId="3563" xr:uid="{00000000-0005-0000-0000-000066120000}"/>
    <cellStyle name="Normal 4 7 4" xfId="130" xr:uid="{00000000-0005-0000-0000-000067120000}"/>
    <cellStyle name="Normal 4 7 4 2" xfId="2457" xr:uid="{00000000-0005-0000-0000-000068120000}"/>
    <cellStyle name="Normal 4 7 4 2 2" xfId="3379" xr:uid="{00000000-0005-0000-0000-000069120000}"/>
    <cellStyle name="Normal 4 7 4 2 2 2" xfId="5232" xr:uid="{00000000-0005-0000-0000-00006A120000}"/>
    <cellStyle name="Normal 4 7 4 2 3" xfId="4337" xr:uid="{00000000-0005-0000-0000-00006B120000}"/>
    <cellStyle name="Normal 4 7 4 3" xfId="3170" xr:uid="{00000000-0005-0000-0000-00006C120000}"/>
    <cellStyle name="Normal 4 7 4 3 2" xfId="5024" xr:uid="{00000000-0005-0000-0000-00006D120000}"/>
    <cellStyle name="Normal 4 7 4 4" xfId="3589" xr:uid="{00000000-0005-0000-0000-00006E120000}"/>
    <cellStyle name="Normal 4 7 5" xfId="166" xr:uid="{00000000-0005-0000-0000-00006F120000}"/>
    <cellStyle name="Normal 4 7 5 2" xfId="3206" xr:uid="{00000000-0005-0000-0000-000070120000}"/>
    <cellStyle name="Normal 4 7 5 2 2" xfId="5060" xr:uid="{00000000-0005-0000-0000-000071120000}"/>
    <cellStyle name="Normal 4 7 5 3" xfId="3625" xr:uid="{00000000-0005-0000-0000-000072120000}"/>
    <cellStyle name="Normal 4 7 6" xfId="2349" xr:uid="{00000000-0005-0000-0000-000073120000}"/>
    <cellStyle name="Normal 4 7 6 2" xfId="3271" xr:uid="{00000000-0005-0000-0000-000074120000}"/>
    <cellStyle name="Normal 4 7 6 2 2" xfId="5124" xr:uid="{00000000-0005-0000-0000-000075120000}"/>
    <cellStyle name="Normal 4 7 6 3" xfId="4229" xr:uid="{00000000-0005-0000-0000-000076120000}"/>
    <cellStyle name="Normal 4 7 7" xfId="3062" xr:uid="{00000000-0005-0000-0000-000077120000}"/>
    <cellStyle name="Normal 4 7 7 2" xfId="4916" xr:uid="{00000000-0005-0000-0000-000078120000}"/>
    <cellStyle name="Normal 4 7 8" xfId="3416" xr:uid="{00000000-0005-0000-0000-000079120000}"/>
    <cellStyle name="Normal 4 7 8 2" xfId="5268" xr:uid="{00000000-0005-0000-0000-00007A120000}"/>
    <cellStyle name="Normal 4 7 9" xfId="3481" xr:uid="{00000000-0005-0000-0000-00007B120000}"/>
    <cellStyle name="Normal 4 8" xfId="26" xr:uid="{00000000-0005-0000-0000-00007C120000}"/>
    <cellStyle name="Normal 4 8 10" xfId="5337" xr:uid="{00000000-0005-0000-0000-00007D120000}"/>
    <cellStyle name="Normal 4 8 2" xfId="56" xr:uid="{00000000-0005-0000-0000-00007E120000}"/>
    <cellStyle name="Normal 4 8 2 2" xfId="200" xr:uid="{00000000-0005-0000-0000-00007F120000}"/>
    <cellStyle name="Normal 4 8 2 2 2" xfId="3240" xr:uid="{00000000-0005-0000-0000-000080120000}"/>
    <cellStyle name="Normal 4 8 2 2 2 2" xfId="5094" xr:uid="{00000000-0005-0000-0000-000081120000}"/>
    <cellStyle name="Normal 4 8 2 2 3" xfId="3659" xr:uid="{00000000-0005-0000-0000-000082120000}"/>
    <cellStyle name="Normal 4 8 2 3" xfId="2383" xr:uid="{00000000-0005-0000-0000-000083120000}"/>
    <cellStyle name="Normal 4 8 2 3 2" xfId="3305" xr:uid="{00000000-0005-0000-0000-000084120000}"/>
    <cellStyle name="Normal 4 8 2 3 2 2" xfId="5158" xr:uid="{00000000-0005-0000-0000-000085120000}"/>
    <cellStyle name="Normal 4 8 2 3 3" xfId="4263" xr:uid="{00000000-0005-0000-0000-000086120000}"/>
    <cellStyle name="Normal 4 8 2 4" xfId="3096" xr:uid="{00000000-0005-0000-0000-000087120000}"/>
    <cellStyle name="Normal 4 8 2 4 2" xfId="4950" xr:uid="{00000000-0005-0000-0000-000088120000}"/>
    <cellStyle name="Normal 4 8 2 5" xfId="3450" xr:uid="{00000000-0005-0000-0000-000089120000}"/>
    <cellStyle name="Normal 4 8 2 5 2" xfId="5302" xr:uid="{00000000-0005-0000-0000-00008A120000}"/>
    <cellStyle name="Normal 4 8 2 6" xfId="3515" xr:uid="{00000000-0005-0000-0000-00008B120000}"/>
    <cellStyle name="Normal 4 8 2 7" xfId="5367" xr:uid="{00000000-0005-0000-0000-00008C120000}"/>
    <cellStyle name="Normal 4 8 3" xfId="108" xr:uid="{00000000-0005-0000-0000-00008D120000}"/>
    <cellStyle name="Normal 4 8 3 2" xfId="2435" xr:uid="{00000000-0005-0000-0000-00008E120000}"/>
    <cellStyle name="Normal 4 8 3 2 2" xfId="3357" xr:uid="{00000000-0005-0000-0000-00008F120000}"/>
    <cellStyle name="Normal 4 8 3 2 2 2" xfId="5210" xr:uid="{00000000-0005-0000-0000-000090120000}"/>
    <cellStyle name="Normal 4 8 3 2 3" xfId="4315" xr:uid="{00000000-0005-0000-0000-000091120000}"/>
    <cellStyle name="Normal 4 8 3 3" xfId="3148" xr:uid="{00000000-0005-0000-0000-000092120000}"/>
    <cellStyle name="Normal 4 8 3 3 2" xfId="5002" xr:uid="{00000000-0005-0000-0000-000093120000}"/>
    <cellStyle name="Normal 4 8 3 4" xfId="3567" xr:uid="{00000000-0005-0000-0000-000094120000}"/>
    <cellStyle name="Normal 4 8 4" xfId="134" xr:uid="{00000000-0005-0000-0000-000095120000}"/>
    <cellStyle name="Normal 4 8 4 2" xfId="2461" xr:uid="{00000000-0005-0000-0000-000096120000}"/>
    <cellStyle name="Normal 4 8 4 2 2" xfId="3383" xr:uid="{00000000-0005-0000-0000-000097120000}"/>
    <cellStyle name="Normal 4 8 4 2 2 2" xfId="5236" xr:uid="{00000000-0005-0000-0000-000098120000}"/>
    <cellStyle name="Normal 4 8 4 2 3" xfId="4341" xr:uid="{00000000-0005-0000-0000-000099120000}"/>
    <cellStyle name="Normal 4 8 4 3" xfId="3174" xr:uid="{00000000-0005-0000-0000-00009A120000}"/>
    <cellStyle name="Normal 4 8 4 3 2" xfId="5028" xr:uid="{00000000-0005-0000-0000-00009B120000}"/>
    <cellStyle name="Normal 4 8 4 4" xfId="3593" xr:uid="{00000000-0005-0000-0000-00009C120000}"/>
    <cellStyle name="Normal 4 8 5" xfId="170" xr:uid="{00000000-0005-0000-0000-00009D120000}"/>
    <cellStyle name="Normal 4 8 5 2" xfId="3210" xr:uid="{00000000-0005-0000-0000-00009E120000}"/>
    <cellStyle name="Normal 4 8 5 2 2" xfId="5064" xr:uid="{00000000-0005-0000-0000-00009F120000}"/>
    <cellStyle name="Normal 4 8 5 3" xfId="3629" xr:uid="{00000000-0005-0000-0000-0000A0120000}"/>
    <cellStyle name="Normal 4 8 6" xfId="2353" xr:uid="{00000000-0005-0000-0000-0000A1120000}"/>
    <cellStyle name="Normal 4 8 6 2" xfId="3275" xr:uid="{00000000-0005-0000-0000-0000A2120000}"/>
    <cellStyle name="Normal 4 8 6 2 2" xfId="5128" xr:uid="{00000000-0005-0000-0000-0000A3120000}"/>
    <cellStyle name="Normal 4 8 6 3" xfId="4233" xr:uid="{00000000-0005-0000-0000-0000A4120000}"/>
    <cellStyle name="Normal 4 8 7" xfId="3066" xr:uid="{00000000-0005-0000-0000-0000A5120000}"/>
    <cellStyle name="Normal 4 8 7 2" xfId="4920" xr:uid="{00000000-0005-0000-0000-0000A6120000}"/>
    <cellStyle name="Normal 4 8 8" xfId="3420" xr:uid="{00000000-0005-0000-0000-0000A7120000}"/>
    <cellStyle name="Normal 4 8 8 2" xfId="5272" xr:uid="{00000000-0005-0000-0000-0000A8120000}"/>
    <cellStyle name="Normal 4 8 9" xfId="3485" xr:uid="{00000000-0005-0000-0000-0000A9120000}"/>
    <cellStyle name="Normal 4 9" xfId="30" xr:uid="{00000000-0005-0000-0000-0000AA120000}"/>
    <cellStyle name="Normal 4 9 10" xfId="5341" xr:uid="{00000000-0005-0000-0000-0000AB120000}"/>
    <cellStyle name="Normal 4 9 2" xfId="60" xr:uid="{00000000-0005-0000-0000-0000AC120000}"/>
    <cellStyle name="Normal 4 9 2 2" xfId="204" xr:uid="{00000000-0005-0000-0000-0000AD120000}"/>
    <cellStyle name="Normal 4 9 2 2 2" xfId="3244" xr:uid="{00000000-0005-0000-0000-0000AE120000}"/>
    <cellStyle name="Normal 4 9 2 2 2 2" xfId="5098" xr:uid="{00000000-0005-0000-0000-0000AF120000}"/>
    <cellStyle name="Normal 4 9 2 2 3" xfId="3663" xr:uid="{00000000-0005-0000-0000-0000B0120000}"/>
    <cellStyle name="Normal 4 9 2 3" xfId="2387" xr:uid="{00000000-0005-0000-0000-0000B1120000}"/>
    <cellStyle name="Normal 4 9 2 3 2" xfId="3309" xr:uid="{00000000-0005-0000-0000-0000B2120000}"/>
    <cellStyle name="Normal 4 9 2 3 2 2" xfId="5162" xr:uid="{00000000-0005-0000-0000-0000B3120000}"/>
    <cellStyle name="Normal 4 9 2 3 3" xfId="4267" xr:uid="{00000000-0005-0000-0000-0000B4120000}"/>
    <cellStyle name="Normal 4 9 2 4" xfId="3100" xr:uid="{00000000-0005-0000-0000-0000B5120000}"/>
    <cellStyle name="Normal 4 9 2 4 2" xfId="4954" xr:uid="{00000000-0005-0000-0000-0000B6120000}"/>
    <cellStyle name="Normal 4 9 2 5" xfId="3454" xr:uid="{00000000-0005-0000-0000-0000B7120000}"/>
    <cellStyle name="Normal 4 9 2 5 2" xfId="5306" xr:uid="{00000000-0005-0000-0000-0000B8120000}"/>
    <cellStyle name="Normal 4 9 2 6" xfId="3519" xr:uid="{00000000-0005-0000-0000-0000B9120000}"/>
    <cellStyle name="Normal 4 9 2 7" xfId="5371" xr:uid="{00000000-0005-0000-0000-0000BA120000}"/>
    <cellStyle name="Normal 4 9 3" xfId="112" xr:uid="{00000000-0005-0000-0000-0000BB120000}"/>
    <cellStyle name="Normal 4 9 3 2" xfId="2439" xr:uid="{00000000-0005-0000-0000-0000BC120000}"/>
    <cellStyle name="Normal 4 9 3 2 2" xfId="3361" xr:uid="{00000000-0005-0000-0000-0000BD120000}"/>
    <cellStyle name="Normal 4 9 3 2 2 2" xfId="5214" xr:uid="{00000000-0005-0000-0000-0000BE120000}"/>
    <cellStyle name="Normal 4 9 3 2 3" xfId="4319" xr:uid="{00000000-0005-0000-0000-0000BF120000}"/>
    <cellStyle name="Normal 4 9 3 3" xfId="3152" xr:uid="{00000000-0005-0000-0000-0000C0120000}"/>
    <cellStyle name="Normal 4 9 3 3 2" xfId="5006" xr:uid="{00000000-0005-0000-0000-0000C1120000}"/>
    <cellStyle name="Normal 4 9 3 4" xfId="3571" xr:uid="{00000000-0005-0000-0000-0000C2120000}"/>
    <cellStyle name="Normal 4 9 4" xfId="138" xr:uid="{00000000-0005-0000-0000-0000C3120000}"/>
    <cellStyle name="Normal 4 9 4 2" xfId="2465" xr:uid="{00000000-0005-0000-0000-0000C4120000}"/>
    <cellStyle name="Normal 4 9 4 2 2" xfId="3387" xr:uid="{00000000-0005-0000-0000-0000C5120000}"/>
    <cellStyle name="Normal 4 9 4 2 2 2" xfId="5240" xr:uid="{00000000-0005-0000-0000-0000C6120000}"/>
    <cellStyle name="Normal 4 9 4 2 3" xfId="4345" xr:uid="{00000000-0005-0000-0000-0000C7120000}"/>
    <cellStyle name="Normal 4 9 4 3" xfId="3178" xr:uid="{00000000-0005-0000-0000-0000C8120000}"/>
    <cellStyle name="Normal 4 9 4 3 2" xfId="5032" xr:uid="{00000000-0005-0000-0000-0000C9120000}"/>
    <cellStyle name="Normal 4 9 4 4" xfId="3597" xr:uid="{00000000-0005-0000-0000-0000CA120000}"/>
    <cellStyle name="Normal 4 9 5" xfId="174" xr:uid="{00000000-0005-0000-0000-0000CB120000}"/>
    <cellStyle name="Normal 4 9 5 2" xfId="3214" xr:uid="{00000000-0005-0000-0000-0000CC120000}"/>
    <cellStyle name="Normal 4 9 5 2 2" xfId="5068" xr:uid="{00000000-0005-0000-0000-0000CD120000}"/>
    <cellStyle name="Normal 4 9 5 3" xfId="3633" xr:uid="{00000000-0005-0000-0000-0000CE120000}"/>
    <cellStyle name="Normal 4 9 6" xfId="2357" xr:uid="{00000000-0005-0000-0000-0000CF120000}"/>
    <cellStyle name="Normal 4 9 6 2" xfId="3279" xr:uid="{00000000-0005-0000-0000-0000D0120000}"/>
    <cellStyle name="Normal 4 9 6 2 2" xfId="5132" xr:uid="{00000000-0005-0000-0000-0000D1120000}"/>
    <cellStyle name="Normal 4 9 6 3" xfId="4237" xr:uid="{00000000-0005-0000-0000-0000D2120000}"/>
    <cellStyle name="Normal 4 9 7" xfId="3070" xr:uid="{00000000-0005-0000-0000-0000D3120000}"/>
    <cellStyle name="Normal 4 9 7 2" xfId="4924" xr:uid="{00000000-0005-0000-0000-0000D4120000}"/>
    <cellStyle name="Normal 4 9 8" xfId="3424" xr:uid="{00000000-0005-0000-0000-0000D5120000}"/>
    <cellStyle name="Normal 4 9 8 2" xfId="5276" xr:uid="{00000000-0005-0000-0000-0000D6120000}"/>
    <cellStyle name="Normal 4 9 9" xfId="3489" xr:uid="{00000000-0005-0000-0000-0000D7120000}"/>
    <cellStyle name="Normal 40" xfId="1851" xr:uid="{00000000-0005-0000-0000-0000D8120000}"/>
    <cellStyle name="Normal 40 2" xfId="1852" xr:uid="{00000000-0005-0000-0000-0000D9120000}"/>
    <cellStyle name="Normal 41" xfId="1853" xr:uid="{00000000-0005-0000-0000-0000DA120000}"/>
    <cellStyle name="Normal 41 2" xfId="1854" xr:uid="{00000000-0005-0000-0000-0000DB120000}"/>
    <cellStyle name="Normal 42" xfId="1855" xr:uid="{00000000-0005-0000-0000-0000DC120000}"/>
    <cellStyle name="Normal 42 2" xfId="1856" xr:uid="{00000000-0005-0000-0000-0000DD120000}"/>
    <cellStyle name="Normal 43" xfId="1857" xr:uid="{00000000-0005-0000-0000-0000DE120000}"/>
    <cellStyle name="Normal 43 2" xfId="1858" xr:uid="{00000000-0005-0000-0000-0000DF120000}"/>
    <cellStyle name="Normal 44" xfId="1859" xr:uid="{00000000-0005-0000-0000-0000E0120000}"/>
    <cellStyle name="Normal 44 2" xfId="1860" xr:uid="{00000000-0005-0000-0000-0000E1120000}"/>
    <cellStyle name="Normal 45" xfId="1861" xr:uid="{00000000-0005-0000-0000-0000E2120000}"/>
    <cellStyle name="Normal 45 2" xfId="1862" xr:uid="{00000000-0005-0000-0000-0000E3120000}"/>
    <cellStyle name="Normal 46" xfId="1863" xr:uid="{00000000-0005-0000-0000-0000E4120000}"/>
    <cellStyle name="Normal 46 2" xfId="1864" xr:uid="{00000000-0005-0000-0000-0000E5120000}"/>
    <cellStyle name="Normal 47" xfId="1865" xr:uid="{00000000-0005-0000-0000-0000E6120000}"/>
    <cellStyle name="Normal 47 2" xfId="1866" xr:uid="{00000000-0005-0000-0000-0000E7120000}"/>
    <cellStyle name="Normal 48" xfId="1867" xr:uid="{00000000-0005-0000-0000-0000E8120000}"/>
    <cellStyle name="Normal 48 2" xfId="1868" xr:uid="{00000000-0005-0000-0000-0000E9120000}"/>
    <cellStyle name="Normal 49" xfId="1869" xr:uid="{00000000-0005-0000-0000-0000EA120000}"/>
    <cellStyle name="Normal 49 2" xfId="1870" xr:uid="{00000000-0005-0000-0000-0000EB120000}"/>
    <cellStyle name="Normal 5" xfId="75" xr:uid="{00000000-0005-0000-0000-0000EC120000}"/>
    <cellStyle name="Normal 5 2" xfId="1872" xr:uid="{00000000-0005-0000-0000-0000ED120000}"/>
    <cellStyle name="Normal 5 3" xfId="1871" xr:uid="{00000000-0005-0000-0000-0000EE120000}"/>
    <cellStyle name="Normal 5 4" xfId="2402" xr:uid="{00000000-0005-0000-0000-0000EF120000}"/>
    <cellStyle name="Normal 5 4 2" xfId="3324" xr:uid="{00000000-0005-0000-0000-0000F0120000}"/>
    <cellStyle name="Normal 5 4 2 2" xfId="5177" xr:uid="{00000000-0005-0000-0000-0000F1120000}"/>
    <cellStyle name="Normal 5 4 3" xfId="4282" xr:uid="{00000000-0005-0000-0000-0000F2120000}"/>
    <cellStyle name="Normal 5 5" xfId="3115" xr:uid="{00000000-0005-0000-0000-0000F3120000}"/>
    <cellStyle name="Normal 5 5 2" xfId="4969" xr:uid="{00000000-0005-0000-0000-0000F4120000}"/>
    <cellStyle name="Normal 5 6" xfId="3534" xr:uid="{00000000-0005-0000-0000-0000F5120000}"/>
    <cellStyle name="Normal 50" xfId="1873" xr:uid="{00000000-0005-0000-0000-0000F6120000}"/>
    <cellStyle name="Normal 50 2" xfId="1874" xr:uid="{00000000-0005-0000-0000-0000F7120000}"/>
    <cellStyle name="Normal 51" xfId="1875" xr:uid="{00000000-0005-0000-0000-0000F8120000}"/>
    <cellStyle name="Normal 51 2" xfId="1876" xr:uid="{00000000-0005-0000-0000-0000F9120000}"/>
    <cellStyle name="Normal 52" xfId="1877" xr:uid="{00000000-0005-0000-0000-0000FA120000}"/>
    <cellStyle name="Normal 52 2" xfId="1878" xr:uid="{00000000-0005-0000-0000-0000FB120000}"/>
    <cellStyle name="Normal 53" xfId="1879" xr:uid="{00000000-0005-0000-0000-0000FC120000}"/>
    <cellStyle name="Normal 53 2" xfId="1880" xr:uid="{00000000-0005-0000-0000-0000FD120000}"/>
    <cellStyle name="Normal 53 2 2" xfId="2895" xr:uid="{00000000-0005-0000-0000-0000FE120000}"/>
    <cellStyle name="Normal 53 2 2 2" xfId="4773" xr:uid="{00000000-0005-0000-0000-0000FF120000}"/>
    <cellStyle name="Normal 53 2 3" xfId="4088" xr:uid="{00000000-0005-0000-0000-000000130000}"/>
    <cellStyle name="Normal 53 3" xfId="2894" xr:uid="{00000000-0005-0000-0000-000001130000}"/>
    <cellStyle name="Normal 53 3 2" xfId="4772" xr:uid="{00000000-0005-0000-0000-000002130000}"/>
    <cellStyle name="Normal 53 4" xfId="4087" xr:uid="{00000000-0005-0000-0000-000003130000}"/>
    <cellStyle name="Normal 54" xfId="1881" xr:uid="{00000000-0005-0000-0000-000004130000}"/>
    <cellStyle name="Normal 55" xfId="1882" xr:uid="{00000000-0005-0000-0000-000005130000}"/>
    <cellStyle name="Normal 56" xfId="1883" xr:uid="{00000000-0005-0000-0000-000006130000}"/>
    <cellStyle name="Normal 57" xfId="1884" xr:uid="{00000000-0005-0000-0000-000007130000}"/>
    <cellStyle name="Normal 58" xfId="1885" xr:uid="{00000000-0005-0000-0000-000008130000}"/>
    <cellStyle name="Normal 59" xfId="1886" xr:uid="{00000000-0005-0000-0000-000009130000}"/>
    <cellStyle name="Normal 59 2" xfId="2896" xr:uid="{00000000-0005-0000-0000-00000A130000}"/>
    <cellStyle name="Normal 59 2 2" xfId="4774" xr:uid="{00000000-0005-0000-0000-00000B130000}"/>
    <cellStyle name="Normal 59 3" xfId="4089" xr:uid="{00000000-0005-0000-0000-00000C130000}"/>
    <cellStyle name="Normal 6" xfId="1887" xr:uid="{00000000-0005-0000-0000-00000D130000}"/>
    <cellStyle name="Normal 6 2" xfId="1888" xr:uid="{00000000-0005-0000-0000-00000E130000}"/>
    <cellStyle name="Normal 60" xfId="1889" xr:uid="{00000000-0005-0000-0000-00000F130000}"/>
    <cellStyle name="Normal 60 2" xfId="2315" xr:uid="{00000000-0005-0000-0000-000010130000}"/>
    <cellStyle name="Normal 60 2 2" xfId="3026" xr:uid="{00000000-0005-0000-0000-000011130000}"/>
    <cellStyle name="Normal 61" xfId="1890" xr:uid="{00000000-0005-0000-0000-000012130000}"/>
    <cellStyle name="Normal 61 2" xfId="2316" xr:uid="{00000000-0005-0000-0000-000013130000}"/>
    <cellStyle name="Normal 61 2 2" xfId="3027" xr:uid="{00000000-0005-0000-0000-000014130000}"/>
    <cellStyle name="Normal 62" xfId="1891" xr:uid="{00000000-0005-0000-0000-000015130000}"/>
    <cellStyle name="Normal 62 2" xfId="2317" xr:uid="{00000000-0005-0000-0000-000016130000}"/>
    <cellStyle name="Normal 62 2 2" xfId="3028" xr:uid="{00000000-0005-0000-0000-000017130000}"/>
    <cellStyle name="Normal 63" xfId="1892" xr:uid="{00000000-0005-0000-0000-000018130000}"/>
    <cellStyle name="Normal 63 2" xfId="2318" xr:uid="{00000000-0005-0000-0000-000019130000}"/>
    <cellStyle name="Normal 63 2 2" xfId="3029" xr:uid="{00000000-0005-0000-0000-00001A130000}"/>
    <cellStyle name="Normal 64" xfId="1893" xr:uid="{00000000-0005-0000-0000-00001B130000}"/>
    <cellStyle name="Normal 64 2" xfId="2320" xr:uid="{00000000-0005-0000-0000-00001C130000}"/>
    <cellStyle name="Normal 64 2 2" xfId="3031" xr:uid="{00000000-0005-0000-0000-00001D130000}"/>
    <cellStyle name="Normal 65" xfId="1894" xr:uid="{00000000-0005-0000-0000-00001E130000}"/>
    <cellStyle name="Normal 65 2" xfId="2321" xr:uid="{00000000-0005-0000-0000-00001F130000}"/>
    <cellStyle name="Normal 65 2 2" xfId="3032" xr:uid="{00000000-0005-0000-0000-000020130000}"/>
    <cellStyle name="Normal 66" xfId="255" xr:uid="{00000000-0005-0000-0000-000021130000}"/>
    <cellStyle name="Normal 66 2" xfId="2322" xr:uid="{00000000-0005-0000-0000-000022130000}"/>
    <cellStyle name="Normal 66 2 2" xfId="3033" xr:uid="{00000000-0005-0000-0000-000023130000}"/>
    <cellStyle name="Normal 67" xfId="2323" xr:uid="{00000000-0005-0000-0000-000024130000}"/>
    <cellStyle name="Normal 67 2" xfId="3034" xr:uid="{00000000-0005-0000-0000-000025130000}"/>
    <cellStyle name="Normal 68" xfId="2324" xr:uid="{00000000-0005-0000-0000-000026130000}"/>
    <cellStyle name="Normal 68 2" xfId="3035" xr:uid="{00000000-0005-0000-0000-000027130000}"/>
    <cellStyle name="Normal 69" xfId="2325" xr:uid="{00000000-0005-0000-0000-000028130000}"/>
    <cellStyle name="Normal 69 2" xfId="3036" xr:uid="{00000000-0005-0000-0000-000029130000}"/>
    <cellStyle name="Normal 7" xfId="1895" xr:uid="{00000000-0005-0000-0000-00002A130000}"/>
    <cellStyle name="Normal 7 2" xfId="1896" xr:uid="{00000000-0005-0000-0000-00002B130000}"/>
    <cellStyle name="Normal 7 3" xfId="1897" xr:uid="{00000000-0005-0000-0000-00002C130000}"/>
    <cellStyle name="Normal 70" xfId="2327" xr:uid="{00000000-0005-0000-0000-00002D130000}"/>
    <cellStyle name="Normal 70 2" xfId="3038" xr:uid="{00000000-0005-0000-0000-00002E130000}"/>
    <cellStyle name="Normal 71" xfId="2328" xr:uid="{00000000-0005-0000-0000-00002F130000}"/>
    <cellStyle name="Normal 71 2" xfId="3039" xr:uid="{00000000-0005-0000-0000-000030130000}"/>
    <cellStyle name="Normal 72" xfId="2329" xr:uid="{00000000-0005-0000-0000-000031130000}"/>
    <cellStyle name="Normal 72 2" xfId="3040" xr:uid="{00000000-0005-0000-0000-000032130000}"/>
    <cellStyle name="Normal 73" xfId="2330" xr:uid="{00000000-0005-0000-0000-000033130000}"/>
    <cellStyle name="Normal 73 2" xfId="3041" xr:uid="{00000000-0005-0000-0000-000034130000}"/>
    <cellStyle name="Normal 74" xfId="2331" xr:uid="{00000000-0005-0000-0000-000035130000}"/>
    <cellStyle name="Normal 74 2" xfId="3042" xr:uid="{00000000-0005-0000-0000-000036130000}"/>
    <cellStyle name="Normal 75" xfId="2332" xr:uid="{00000000-0005-0000-0000-000037130000}"/>
    <cellStyle name="Normal 75 2" xfId="3043" xr:uid="{00000000-0005-0000-0000-000038130000}"/>
    <cellStyle name="Normal 76" xfId="253" xr:uid="{00000000-0005-0000-0000-000039130000}"/>
    <cellStyle name="Normal 76 2" xfId="3253" xr:uid="{00000000-0005-0000-0000-00003A130000}"/>
    <cellStyle name="Normal 76 2 2" xfId="5107" xr:uid="{00000000-0005-0000-0000-00003B130000}"/>
    <cellStyle name="Normal 76 3" xfId="3684" xr:uid="{00000000-0005-0000-0000-00003C130000}"/>
    <cellStyle name="Normal 77" xfId="2479" xr:uid="{00000000-0005-0000-0000-00003D130000}"/>
    <cellStyle name="Normal 77 2" xfId="4358" xr:uid="{00000000-0005-0000-0000-00003E130000}"/>
    <cellStyle name="Normal 78" xfId="3463" xr:uid="{00000000-0005-0000-0000-00003F130000}"/>
    <cellStyle name="Normal 79" xfId="5390" xr:uid="{00000000-0005-0000-0000-000040130000}"/>
    <cellStyle name="Normal 8" xfId="1898" xr:uid="{00000000-0005-0000-0000-000041130000}"/>
    <cellStyle name="Normal 8 2" xfId="1899" xr:uid="{00000000-0005-0000-0000-000042130000}"/>
    <cellStyle name="Normal 8 3" xfId="1900" xr:uid="{00000000-0005-0000-0000-000043130000}"/>
    <cellStyle name="Normal 9" xfId="1901" xr:uid="{00000000-0005-0000-0000-000044130000}"/>
    <cellStyle name="Normal 9 2" xfId="1902" xr:uid="{00000000-0005-0000-0000-000045130000}"/>
    <cellStyle name="Note 10" xfId="1903" xr:uid="{00000000-0005-0000-0000-000046130000}"/>
    <cellStyle name="Note 10 2" xfId="1904" xr:uid="{00000000-0005-0000-0000-000047130000}"/>
    <cellStyle name="Note 11" xfId="1905" xr:uid="{00000000-0005-0000-0000-000048130000}"/>
    <cellStyle name="Note 11 2" xfId="1906" xr:uid="{00000000-0005-0000-0000-000049130000}"/>
    <cellStyle name="Note 12" xfId="1907" xr:uid="{00000000-0005-0000-0000-00004A130000}"/>
    <cellStyle name="Note 12 2" xfId="1908" xr:uid="{00000000-0005-0000-0000-00004B130000}"/>
    <cellStyle name="Note 13" xfId="1909" xr:uid="{00000000-0005-0000-0000-00004C130000}"/>
    <cellStyle name="Note 13 2" xfId="1910" xr:uid="{00000000-0005-0000-0000-00004D130000}"/>
    <cellStyle name="Note 14" xfId="1911" xr:uid="{00000000-0005-0000-0000-00004E130000}"/>
    <cellStyle name="Note 14 2" xfId="1912" xr:uid="{00000000-0005-0000-0000-00004F130000}"/>
    <cellStyle name="Note 15" xfId="1913" xr:uid="{00000000-0005-0000-0000-000050130000}"/>
    <cellStyle name="Note 15 2" xfId="1914" xr:uid="{00000000-0005-0000-0000-000051130000}"/>
    <cellStyle name="Note 16" xfId="1915" xr:uid="{00000000-0005-0000-0000-000052130000}"/>
    <cellStyle name="Note 16 2" xfId="1916" xr:uid="{00000000-0005-0000-0000-000053130000}"/>
    <cellStyle name="Note 16 2 2" xfId="1917" xr:uid="{00000000-0005-0000-0000-000054130000}"/>
    <cellStyle name="Note 16 2 2 2" xfId="1918" xr:uid="{00000000-0005-0000-0000-000055130000}"/>
    <cellStyle name="Note 16 2 2 2 2" xfId="1919" xr:uid="{00000000-0005-0000-0000-000056130000}"/>
    <cellStyle name="Note 16 2 2 2 3" xfId="2293" xr:uid="{00000000-0005-0000-0000-000057130000}"/>
    <cellStyle name="Note 16 2 2 2 3 2" xfId="3004" xr:uid="{00000000-0005-0000-0000-000058130000}"/>
    <cellStyle name="Note 16 2 2 2 3 2 2" xfId="4879" xr:uid="{00000000-0005-0000-0000-000059130000}"/>
    <cellStyle name="Note 16 2 2 2 3 3" xfId="4192" xr:uid="{00000000-0005-0000-0000-00005A130000}"/>
    <cellStyle name="Note 16 2 2 3" xfId="1920" xr:uid="{00000000-0005-0000-0000-00005B130000}"/>
    <cellStyle name="Note 16 2 2 4" xfId="2257" xr:uid="{00000000-0005-0000-0000-00005C130000}"/>
    <cellStyle name="Note 16 2 2 4 2" xfId="2971" xr:uid="{00000000-0005-0000-0000-00005D130000}"/>
    <cellStyle name="Note 16 2 2 4 2 2" xfId="4846" xr:uid="{00000000-0005-0000-0000-00005E130000}"/>
    <cellStyle name="Note 16 2 2 4 3" xfId="4159" xr:uid="{00000000-0005-0000-0000-00005F130000}"/>
    <cellStyle name="Note 16 2 3" xfId="1921" xr:uid="{00000000-0005-0000-0000-000060130000}"/>
    <cellStyle name="Note 16 2 3 2" xfId="1922" xr:uid="{00000000-0005-0000-0000-000061130000}"/>
    <cellStyle name="Note 16 2 3 2 2" xfId="1923" xr:uid="{00000000-0005-0000-0000-000062130000}"/>
    <cellStyle name="Note 16 2 3 2 3" xfId="2306" xr:uid="{00000000-0005-0000-0000-000063130000}"/>
    <cellStyle name="Note 16 2 3 2 3 2" xfId="3017" xr:uid="{00000000-0005-0000-0000-000064130000}"/>
    <cellStyle name="Note 16 2 3 2 3 2 2" xfId="4892" xr:uid="{00000000-0005-0000-0000-000065130000}"/>
    <cellStyle name="Note 16 2 3 2 3 3" xfId="4205" xr:uid="{00000000-0005-0000-0000-000066130000}"/>
    <cellStyle name="Note 16 2 3 3" xfId="1924" xr:uid="{00000000-0005-0000-0000-000067130000}"/>
    <cellStyle name="Note 16 2 3 4" xfId="2273" xr:uid="{00000000-0005-0000-0000-000068130000}"/>
    <cellStyle name="Note 16 2 3 4 2" xfId="2986" xr:uid="{00000000-0005-0000-0000-000069130000}"/>
    <cellStyle name="Note 16 2 3 4 2 2" xfId="4861" xr:uid="{00000000-0005-0000-0000-00006A130000}"/>
    <cellStyle name="Note 16 2 3 4 3" xfId="4174" xr:uid="{00000000-0005-0000-0000-00006B130000}"/>
    <cellStyle name="Note 16 2 4" xfId="1925" xr:uid="{00000000-0005-0000-0000-00006C130000}"/>
    <cellStyle name="Note 16 2 4 2" xfId="1926" xr:uid="{00000000-0005-0000-0000-00006D130000}"/>
    <cellStyle name="Note 16 2 4 2 2" xfId="1927" xr:uid="{00000000-0005-0000-0000-00006E130000}"/>
    <cellStyle name="Note 16 2 4 2 3" xfId="2313" xr:uid="{00000000-0005-0000-0000-00006F130000}"/>
    <cellStyle name="Note 16 2 4 2 3 2" xfId="3024" xr:uid="{00000000-0005-0000-0000-000070130000}"/>
    <cellStyle name="Note 16 2 4 2 3 2 2" xfId="4899" xr:uid="{00000000-0005-0000-0000-000071130000}"/>
    <cellStyle name="Note 16 2 4 2 3 3" xfId="4212" xr:uid="{00000000-0005-0000-0000-000072130000}"/>
    <cellStyle name="Note 16 2 4 3" xfId="1928" xr:uid="{00000000-0005-0000-0000-000073130000}"/>
    <cellStyle name="Note 16 2 4 4" xfId="2282" xr:uid="{00000000-0005-0000-0000-000074130000}"/>
    <cellStyle name="Note 16 2 4 4 2" xfId="2993" xr:uid="{00000000-0005-0000-0000-000075130000}"/>
    <cellStyle name="Note 16 2 4 4 2 2" xfId="4868" xr:uid="{00000000-0005-0000-0000-000076130000}"/>
    <cellStyle name="Note 16 2 4 4 3" xfId="4181" xr:uid="{00000000-0005-0000-0000-000077130000}"/>
    <cellStyle name="Note 16 2 5" xfId="1929" xr:uid="{00000000-0005-0000-0000-000078130000}"/>
    <cellStyle name="Note 16 2 5 2" xfId="1930" xr:uid="{00000000-0005-0000-0000-000079130000}"/>
    <cellStyle name="Note 16 2 5 3" xfId="2288" xr:uid="{00000000-0005-0000-0000-00007A130000}"/>
    <cellStyle name="Note 16 2 5 3 2" xfId="2999" xr:uid="{00000000-0005-0000-0000-00007B130000}"/>
    <cellStyle name="Note 16 2 5 3 2 2" xfId="4874" xr:uid="{00000000-0005-0000-0000-00007C130000}"/>
    <cellStyle name="Note 16 2 5 3 3" xfId="4187" xr:uid="{00000000-0005-0000-0000-00007D130000}"/>
    <cellStyle name="Note 16 2 6" xfId="1931" xr:uid="{00000000-0005-0000-0000-00007E130000}"/>
    <cellStyle name="Note 16 2 6 2" xfId="2239" xr:uid="{00000000-0005-0000-0000-00007F130000}"/>
    <cellStyle name="Note 16 2 6 2 2" xfId="2953" xr:uid="{00000000-0005-0000-0000-000080130000}"/>
    <cellStyle name="Note 16 2 6 2 2 2" xfId="4828" xr:uid="{00000000-0005-0000-0000-000081130000}"/>
    <cellStyle name="Note 16 2 6 2 3" xfId="4141" xr:uid="{00000000-0005-0000-0000-000082130000}"/>
    <cellStyle name="Note 16 2 7" xfId="2193" xr:uid="{00000000-0005-0000-0000-000083130000}"/>
    <cellStyle name="Note 16 2 7 2" xfId="2907" xr:uid="{00000000-0005-0000-0000-000084130000}"/>
    <cellStyle name="Note 16 2 7 2 2" xfId="4782" xr:uid="{00000000-0005-0000-0000-000085130000}"/>
    <cellStyle name="Note 16 2 7 3" xfId="4095" xr:uid="{00000000-0005-0000-0000-000086130000}"/>
    <cellStyle name="Note 16 3" xfId="1932" xr:uid="{00000000-0005-0000-0000-000087130000}"/>
    <cellStyle name="Note 16 3 2" xfId="1933" xr:uid="{00000000-0005-0000-0000-000088130000}"/>
    <cellStyle name="Note 16 3 2 2" xfId="1934" xr:uid="{00000000-0005-0000-0000-000089130000}"/>
    <cellStyle name="Note 16 3 2 3" xfId="2291" xr:uid="{00000000-0005-0000-0000-00008A130000}"/>
    <cellStyle name="Note 16 3 2 3 2" xfId="3002" xr:uid="{00000000-0005-0000-0000-00008B130000}"/>
    <cellStyle name="Note 16 3 2 3 2 2" xfId="4877" xr:uid="{00000000-0005-0000-0000-00008C130000}"/>
    <cellStyle name="Note 16 3 2 3 3" xfId="4190" xr:uid="{00000000-0005-0000-0000-00008D130000}"/>
    <cellStyle name="Note 16 3 3" xfId="1935" xr:uid="{00000000-0005-0000-0000-00008E130000}"/>
    <cellStyle name="Note 16 3 4" xfId="2255" xr:uid="{00000000-0005-0000-0000-00008F130000}"/>
    <cellStyle name="Note 16 3 4 2" xfId="2969" xr:uid="{00000000-0005-0000-0000-000090130000}"/>
    <cellStyle name="Note 16 3 4 2 2" xfId="4844" xr:uid="{00000000-0005-0000-0000-000091130000}"/>
    <cellStyle name="Note 16 3 4 3" xfId="4157" xr:uid="{00000000-0005-0000-0000-000092130000}"/>
    <cellStyle name="Note 16 4" xfId="1936" xr:uid="{00000000-0005-0000-0000-000093130000}"/>
    <cellStyle name="Note 16 4 2" xfId="1937" xr:uid="{00000000-0005-0000-0000-000094130000}"/>
    <cellStyle name="Note 16 4 2 2" xfId="1938" xr:uid="{00000000-0005-0000-0000-000095130000}"/>
    <cellStyle name="Note 16 4 2 3" xfId="2298" xr:uid="{00000000-0005-0000-0000-000096130000}"/>
    <cellStyle name="Note 16 4 2 3 2" xfId="3009" xr:uid="{00000000-0005-0000-0000-000097130000}"/>
    <cellStyle name="Note 16 4 2 3 2 2" xfId="4884" xr:uid="{00000000-0005-0000-0000-000098130000}"/>
    <cellStyle name="Note 16 4 2 3 3" xfId="4197" xr:uid="{00000000-0005-0000-0000-000099130000}"/>
    <cellStyle name="Note 16 4 3" xfId="1939" xr:uid="{00000000-0005-0000-0000-00009A130000}"/>
    <cellStyle name="Note 16 4 4" xfId="2264" xr:uid="{00000000-0005-0000-0000-00009B130000}"/>
    <cellStyle name="Note 16 4 4 2" xfId="2977" xr:uid="{00000000-0005-0000-0000-00009C130000}"/>
    <cellStyle name="Note 16 4 4 2 2" xfId="4852" xr:uid="{00000000-0005-0000-0000-00009D130000}"/>
    <cellStyle name="Note 16 4 4 3" xfId="4165" xr:uid="{00000000-0005-0000-0000-00009E130000}"/>
    <cellStyle name="Note 16 5" xfId="1940" xr:uid="{00000000-0005-0000-0000-00009F130000}"/>
    <cellStyle name="Note 16 5 2" xfId="1941" xr:uid="{00000000-0005-0000-0000-0000A0130000}"/>
    <cellStyle name="Note 16 5 2 2" xfId="1942" xr:uid="{00000000-0005-0000-0000-0000A1130000}"/>
    <cellStyle name="Note 16 5 2 3" xfId="2311" xr:uid="{00000000-0005-0000-0000-0000A2130000}"/>
    <cellStyle name="Note 16 5 2 3 2" xfId="3022" xr:uid="{00000000-0005-0000-0000-0000A3130000}"/>
    <cellStyle name="Note 16 5 2 3 2 2" xfId="4897" xr:uid="{00000000-0005-0000-0000-0000A4130000}"/>
    <cellStyle name="Note 16 5 2 3 3" xfId="4210" xr:uid="{00000000-0005-0000-0000-0000A5130000}"/>
    <cellStyle name="Note 16 5 3" xfId="1943" xr:uid="{00000000-0005-0000-0000-0000A6130000}"/>
    <cellStyle name="Note 16 5 4" xfId="2280" xr:uid="{00000000-0005-0000-0000-0000A7130000}"/>
    <cellStyle name="Note 16 5 4 2" xfId="2991" xr:uid="{00000000-0005-0000-0000-0000A8130000}"/>
    <cellStyle name="Note 16 5 4 2 2" xfId="4866" xr:uid="{00000000-0005-0000-0000-0000A9130000}"/>
    <cellStyle name="Note 16 5 4 3" xfId="4179" xr:uid="{00000000-0005-0000-0000-0000AA130000}"/>
    <cellStyle name="Note 16 6" xfId="1944" xr:uid="{00000000-0005-0000-0000-0000AB130000}"/>
    <cellStyle name="Note 16 6 2" xfId="1945" xr:uid="{00000000-0005-0000-0000-0000AC130000}"/>
    <cellStyle name="Note 16 6 3" xfId="2286" xr:uid="{00000000-0005-0000-0000-0000AD130000}"/>
    <cellStyle name="Note 16 6 3 2" xfId="2997" xr:uid="{00000000-0005-0000-0000-0000AE130000}"/>
    <cellStyle name="Note 16 6 3 2 2" xfId="4872" xr:uid="{00000000-0005-0000-0000-0000AF130000}"/>
    <cellStyle name="Note 16 6 3 3" xfId="4185" xr:uid="{00000000-0005-0000-0000-0000B0130000}"/>
    <cellStyle name="Note 16 7" xfId="1946" xr:uid="{00000000-0005-0000-0000-0000B1130000}"/>
    <cellStyle name="Note 16 7 2" xfId="2213" xr:uid="{00000000-0005-0000-0000-0000B2130000}"/>
    <cellStyle name="Note 16 7 2 2" xfId="2927" xr:uid="{00000000-0005-0000-0000-0000B3130000}"/>
    <cellStyle name="Note 16 7 2 2 2" xfId="4802" xr:uid="{00000000-0005-0000-0000-0000B4130000}"/>
    <cellStyle name="Note 16 7 2 3" xfId="4115" xr:uid="{00000000-0005-0000-0000-0000B5130000}"/>
    <cellStyle name="Note 16 8" xfId="2191" xr:uid="{00000000-0005-0000-0000-0000B6130000}"/>
    <cellStyle name="Note 16 8 2" xfId="2905" xr:uid="{00000000-0005-0000-0000-0000B7130000}"/>
    <cellStyle name="Note 16 8 2 2" xfId="4780" xr:uid="{00000000-0005-0000-0000-0000B8130000}"/>
    <cellStyle name="Note 16 8 3" xfId="4093" xr:uid="{00000000-0005-0000-0000-0000B9130000}"/>
    <cellStyle name="Note 17" xfId="1947" xr:uid="{00000000-0005-0000-0000-0000BA130000}"/>
    <cellStyle name="Note 18" xfId="1948" xr:uid="{00000000-0005-0000-0000-0000BB130000}"/>
    <cellStyle name="Note 19" xfId="1949" xr:uid="{00000000-0005-0000-0000-0000BC130000}"/>
    <cellStyle name="Note 2" xfId="1950" xr:uid="{00000000-0005-0000-0000-0000BD130000}"/>
    <cellStyle name="Note 2 10" xfId="1951" xr:uid="{00000000-0005-0000-0000-0000BE130000}"/>
    <cellStyle name="Note 2 10 2" xfId="1952" xr:uid="{00000000-0005-0000-0000-0000BF130000}"/>
    <cellStyle name="Note 2 10 3" xfId="2285" xr:uid="{00000000-0005-0000-0000-0000C0130000}"/>
    <cellStyle name="Note 2 10 3 2" xfId="2996" xr:uid="{00000000-0005-0000-0000-0000C1130000}"/>
    <cellStyle name="Note 2 10 3 2 2" xfId="4871" xr:uid="{00000000-0005-0000-0000-0000C2130000}"/>
    <cellStyle name="Note 2 10 3 3" xfId="4184" xr:uid="{00000000-0005-0000-0000-0000C3130000}"/>
    <cellStyle name="Note 2 11" xfId="1953" xr:uid="{00000000-0005-0000-0000-0000C4130000}"/>
    <cellStyle name="Note 2 11 2" xfId="2212" xr:uid="{00000000-0005-0000-0000-0000C5130000}"/>
    <cellStyle name="Note 2 11 2 2" xfId="2926" xr:uid="{00000000-0005-0000-0000-0000C6130000}"/>
    <cellStyle name="Note 2 11 2 2 2" xfId="4801" xr:uid="{00000000-0005-0000-0000-0000C7130000}"/>
    <cellStyle name="Note 2 11 2 3" xfId="4114" xr:uid="{00000000-0005-0000-0000-0000C8130000}"/>
    <cellStyle name="Note 2 12" xfId="2190" xr:uid="{00000000-0005-0000-0000-0000C9130000}"/>
    <cellStyle name="Note 2 12 2" xfId="2904" xr:uid="{00000000-0005-0000-0000-0000CA130000}"/>
    <cellStyle name="Note 2 12 2 2" xfId="4779" xr:uid="{00000000-0005-0000-0000-0000CB130000}"/>
    <cellStyle name="Note 2 12 3" xfId="4092" xr:uid="{00000000-0005-0000-0000-0000CC130000}"/>
    <cellStyle name="Note 2 2" xfId="1954" xr:uid="{00000000-0005-0000-0000-0000CD130000}"/>
    <cellStyle name="Note 2 2 2" xfId="1955" xr:uid="{00000000-0005-0000-0000-0000CE130000}"/>
    <cellStyle name="Note 2 3" xfId="1956" xr:uid="{00000000-0005-0000-0000-0000CF130000}"/>
    <cellStyle name="Note 2 3 2" xfId="1957" xr:uid="{00000000-0005-0000-0000-0000D0130000}"/>
    <cellStyle name="Note 2 4" xfId="1958" xr:uid="{00000000-0005-0000-0000-0000D1130000}"/>
    <cellStyle name="Note 2 4 2" xfId="1959" xr:uid="{00000000-0005-0000-0000-0000D2130000}"/>
    <cellStyle name="Note 2 5" xfId="1960" xr:uid="{00000000-0005-0000-0000-0000D3130000}"/>
    <cellStyle name="Note 2 5 2" xfId="1961" xr:uid="{00000000-0005-0000-0000-0000D4130000}"/>
    <cellStyle name="Note 2 6" xfId="1962" xr:uid="{00000000-0005-0000-0000-0000D5130000}"/>
    <cellStyle name="Note 2 6 2" xfId="1963" xr:uid="{00000000-0005-0000-0000-0000D6130000}"/>
    <cellStyle name="Note 2 6 2 2" xfId="1964" xr:uid="{00000000-0005-0000-0000-0000D7130000}"/>
    <cellStyle name="Note 2 6 2 2 2" xfId="1965" xr:uid="{00000000-0005-0000-0000-0000D8130000}"/>
    <cellStyle name="Note 2 6 2 2 3" xfId="2292" xr:uid="{00000000-0005-0000-0000-0000D9130000}"/>
    <cellStyle name="Note 2 6 2 2 3 2" xfId="3003" xr:uid="{00000000-0005-0000-0000-0000DA130000}"/>
    <cellStyle name="Note 2 6 2 2 3 2 2" xfId="4878" xr:uid="{00000000-0005-0000-0000-0000DB130000}"/>
    <cellStyle name="Note 2 6 2 2 3 3" xfId="4191" xr:uid="{00000000-0005-0000-0000-0000DC130000}"/>
    <cellStyle name="Note 2 6 2 3" xfId="1966" xr:uid="{00000000-0005-0000-0000-0000DD130000}"/>
    <cellStyle name="Note 2 6 2 4" xfId="2256" xr:uid="{00000000-0005-0000-0000-0000DE130000}"/>
    <cellStyle name="Note 2 6 2 4 2" xfId="2970" xr:uid="{00000000-0005-0000-0000-0000DF130000}"/>
    <cellStyle name="Note 2 6 2 4 2 2" xfId="4845" xr:uid="{00000000-0005-0000-0000-0000E0130000}"/>
    <cellStyle name="Note 2 6 2 4 3" xfId="4158" xr:uid="{00000000-0005-0000-0000-0000E1130000}"/>
    <cellStyle name="Note 2 6 3" xfId="1967" xr:uid="{00000000-0005-0000-0000-0000E2130000}"/>
    <cellStyle name="Note 2 6 3 2" xfId="1968" xr:uid="{00000000-0005-0000-0000-0000E3130000}"/>
    <cellStyle name="Note 2 6 3 2 2" xfId="1969" xr:uid="{00000000-0005-0000-0000-0000E4130000}"/>
    <cellStyle name="Note 2 6 3 2 3" xfId="2307" xr:uid="{00000000-0005-0000-0000-0000E5130000}"/>
    <cellStyle name="Note 2 6 3 2 3 2" xfId="3018" xr:uid="{00000000-0005-0000-0000-0000E6130000}"/>
    <cellStyle name="Note 2 6 3 2 3 2 2" xfId="4893" xr:uid="{00000000-0005-0000-0000-0000E7130000}"/>
    <cellStyle name="Note 2 6 3 2 3 3" xfId="4206" xr:uid="{00000000-0005-0000-0000-0000E8130000}"/>
    <cellStyle name="Note 2 6 3 3" xfId="1970" xr:uid="{00000000-0005-0000-0000-0000E9130000}"/>
    <cellStyle name="Note 2 6 3 4" xfId="2274" xr:uid="{00000000-0005-0000-0000-0000EA130000}"/>
    <cellStyle name="Note 2 6 3 4 2" xfId="2987" xr:uid="{00000000-0005-0000-0000-0000EB130000}"/>
    <cellStyle name="Note 2 6 3 4 2 2" xfId="4862" xr:uid="{00000000-0005-0000-0000-0000EC130000}"/>
    <cellStyle name="Note 2 6 3 4 3" xfId="4175" xr:uid="{00000000-0005-0000-0000-0000ED130000}"/>
    <cellStyle name="Note 2 6 4" xfId="1971" xr:uid="{00000000-0005-0000-0000-0000EE130000}"/>
    <cellStyle name="Note 2 6 4 2" xfId="1972" xr:uid="{00000000-0005-0000-0000-0000EF130000}"/>
    <cellStyle name="Note 2 6 4 2 2" xfId="1973" xr:uid="{00000000-0005-0000-0000-0000F0130000}"/>
    <cellStyle name="Note 2 6 4 2 3" xfId="2312" xr:uid="{00000000-0005-0000-0000-0000F1130000}"/>
    <cellStyle name="Note 2 6 4 2 3 2" xfId="3023" xr:uid="{00000000-0005-0000-0000-0000F2130000}"/>
    <cellStyle name="Note 2 6 4 2 3 2 2" xfId="4898" xr:uid="{00000000-0005-0000-0000-0000F3130000}"/>
    <cellStyle name="Note 2 6 4 2 3 3" xfId="4211" xr:uid="{00000000-0005-0000-0000-0000F4130000}"/>
    <cellStyle name="Note 2 6 4 3" xfId="1974" xr:uid="{00000000-0005-0000-0000-0000F5130000}"/>
    <cellStyle name="Note 2 6 4 4" xfId="2281" xr:uid="{00000000-0005-0000-0000-0000F6130000}"/>
    <cellStyle name="Note 2 6 4 4 2" xfId="2992" xr:uid="{00000000-0005-0000-0000-0000F7130000}"/>
    <cellStyle name="Note 2 6 4 4 2 2" xfId="4867" xr:uid="{00000000-0005-0000-0000-0000F8130000}"/>
    <cellStyle name="Note 2 6 4 4 3" xfId="4180" xr:uid="{00000000-0005-0000-0000-0000F9130000}"/>
    <cellStyle name="Note 2 6 5" xfId="1975" xr:uid="{00000000-0005-0000-0000-0000FA130000}"/>
    <cellStyle name="Note 2 6 5 2" xfId="1976" xr:uid="{00000000-0005-0000-0000-0000FB130000}"/>
    <cellStyle name="Note 2 6 5 3" xfId="2287" xr:uid="{00000000-0005-0000-0000-0000FC130000}"/>
    <cellStyle name="Note 2 6 5 3 2" xfId="2998" xr:uid="{00000000-0005-0000-0000-0000FD130000}"/>
    <cellStyle name="Note 2 6 5 3 2 2" xfId="4873" xr:uid="{00000000-0005-0000-0000-0000FE130000}"/>
    <cellStyle name="Note 2 6 5 3 3" xfId="4186" xr:uid="{00000000-0005-0000-0000-0000FF130000}"/>
    <cellStyle name="Note 2 6 6" xfId="1977" xr:uid="{00000000-0005-0000-0000-000000140000}"/>
    <cellStyle name="Note 2 6 6 2" xfId="2238" xr:uid="{00000000-0005-0000-0000-000001140000}"/>
    <cellStyle name="Note 2 6 6 2 2" xfId="2952" xr:uid="{00000000-0005-0000-0000-000002140000}"/>
    <cellStyle name="Note 2 6 6 2 2 2" xfId="4827" xr:uid="{00000000-0005-0000-0000-000003140000}"/>
    <cellStyle name="Note 2 6 6 2 3" xfId="4140" xr:uid="{00000000-0005-0000-0000-000004140000}"/>
    <cellStyle name="Note 2 6 7" xfId="2192" xr:uid="{00000000-0005-0000-0000-000005140000}"/>
    <cellStyle name="Note 2 6 7 2" xfId="2906" xr:uid="{00000000-0005-0000-0000-000006140000}"/>
    <cellStyle name="Note 2 6 7 2 2" xfId="4781" xr:uid="{00000000-0005-0000-0000-000007140000}"/>
    <cellStyle name="Note 2 6 7 3" xfId="4094" xr:uid="{00000000-0005-0000-0000-000008140000}"/>
    <cellStyle name="Note 2 7" xfId="1978" xr:uid="{00000000-0005-0000-0000-000009140000}"/>
    <cellStyle name="Note 2 7 2" xfId="1979" xr:uid="{00000000-0005-0000-0000-00000A140000}"/>
    <cellStyle name="Note 2 7 2 2" xfId="1980" xr:uid="{00000000-0005-0000-0000-00000B140000}"/>
    <cellStyle name="Note 2 7 2 3" xfId="2290" xr:uid="{00000000-0005-0000-0000-00000C140000}"/>
    <cellStyle name="Note 2 7 2 3 2" xfId="3001" xr:uid="{00000000-0005-0000-0000-00000D140000}"/>
    <cellStyle name="Note 2 7 2 3 2 2" xfId="4876" xr:uid="{00000000-0005-0000-0000-00000E140000}"/>
    <cellStyle name="Note 2 7 2 3 3" xfId="4189" xr:uid="{00000000-0005-0000-0000-00000F140000}"/>
    <cellStyle name="Note 2 7 3" xfId="1981" xr:uid="{00000000-0005-0000-0000-000010140000}"/>
    <cellStyle name="Note 2 7 4" xfId="2254" xr:uid="{00000000-0005-0000-0000-000011140000}"/>
    <cellStyle name="Note 2 7 4 2" xfId="2968" xr:uid="{00000000-0005-0000-0000-000012140000}"/>
    <cellStyle name="Note 2 7 4 2 2" xfId="4843" xr:uid="{00000000-0005-0000-0000-000013140000}"/>
    <cellStyle name="Note 2 7 4 3" xfId="4156" xr:uid="{00000000-0005-0000-0000-000014140000}"/>
    <cellStyle name="Note 2 8" xfId="1982" xr:uid="{00000000-0005-0000-0000-000015140000}"/>
    <cellStyle name="Note 2 8 2" xfId="1983" xr:uid="{00000000-0005-0000-0000-000016140000}"/>
    <cellStyle name="Note 2 8 2 2" xfId="1984" xr:uid="{00000000-0005-0000-0000-000017140000}"/>
    <cellStyle name="Note 2 8 2 3" xfId="2297" xr:uid="{00000000-0005-0000-0000-000018140000}"/>
    <cellStyle name="Note 2 8 2 3 2" xfId="3008" xr:uid="{00000000-0005-0000-0000-000019140000}"/>
    <cellStyle name="Note 2 8 2 3 2 2" xfId="4883" xr:uid="{00000000-0005-0000-0000-00001A140000}"/>
    <cellStyle name="Note 2 8 2 3 3" xfId="4196" xr:uid="{00000000-0005-0000-0000-00001B140000}"/>
    <cellStyle name="Note 2 8 3" xfId="1985" xr:uid="{00000000-0005-0000-0000-00001C140000}"/>
    <cellStyle name="Note 2 8 4" xfId="2262" xr:uid="{00000000-0005-0000-0000-00001D140000}"/>
    <cellStyle name="Note 2 8 4 2" xfId="2976" xr:uid="{00000000-0005-0000-0000-00001E140000}"/>
    <cellStyle name="Note 2 8 4 2 2" xfId="4851" xr:uid="{00000000-0005-0000-0000-00001F140000}"/>
    <cellStyle name="Note 2 8 4 3" xfId="4164" xr:uid="{00000000-0005-0000-0000-000020140000}"/>
    <cellStyle name="Note 2 9" xfId="1986" xr:uid="{00000000-0005-0000-0000-000021140000}"/>
    <cellStyle name="Note 2 9 2" xfId="1987" xr:uid="{00000000-0005-0000-0000-000022140000}"/>
    <cellStyle name="Note 2 9 2 2" xfId="1988" xr:uid="{00000000-0005-0000-0000-000023140000}"/>
    <cellStyle name="Note 2 9 2 3" xfId="2310" xr:uid="{00000000-0005-0000-0000-000024140000}"/>
    <cellStyle name="Note 2 9 2 3 2" xfId="3021" xr:uid="{00000000-0005-0000-0000-000025140000}"/>
    <cellStyle name="Note 2 9 2 3 2 2" xfId="4896" xr:uid="{00000000-0005-0000-0000-000026140000}"/>
    <cellStyle name="Note 2 9 2 3 3" xfId="4209" xr:uid="{00000000-0005-0000-0000-000027140000}"/>
    <cellStyle name="Note 2 9 3" xfId="1989" xr:uid="{00000000-0005-0000-0000-000028140000}"/>
    <cellStyle name="Note 2 9 4" xfId="2279" xr:uid="{00000000-0005-0000-0000-000029140000}"/>
    <cellStyle name="Note 2 9 4 2" xfId="2990" xr:uid="{00000000-0005-0000-0000-00002A140000}"/>
    <cellStyle name="Note 2 9 4 2 2" xfId="4865" xr:uid="{00000000-0005-0000-0000-00002B140000}"/>
    <cellStyle name="Note 2 9 4 3" xfId="4178" xr:uid="{00000000-0005-0000-0000-00002C140000}"/>
    <cellStyle name="Note 20" xfId="1990" xr:uid="{00000000-0005-0000-0000-00002D140000}"/>
    <cellStyle name="Note 21" xfId="1991" xr:uid="{00000000-0005-0000-0000-00002E140000}"/>
    <cellStyle name="Note 21 2" xfId="1992" xr:uid="{00000000-0005-0000-0000-00002F140000}"/>
    <cellStyle name="Note 21 2 2" xfId="1993" xr:uid="{00000000-0005-0000-0000-000030140000}"/>
    <cellStyle name="Note 21 2 3" xfId="2309" xr:uid="{00000000-0005-0000-0000-000031140000}"/>
    <cellStyle name="Note 21 2 3 2" xfId="3020" xr:uid="{00000000-0005-0000-0000-000032140000}"/>
    <cellStyle name="Note 21 2 3 2 2" xfId="4895" xr:uid="{00000000-0005-0000-0000-000033140000}"/>
    <cellStyle name="Note 21 2 3 3" xfId="4208" xr:uid="{00000000-0005-0000-0000-000034140000}"/>
    <cellStyle name="Note 21 3" xfId="1994" xr:uid="{00000000-0005-0000-0000-000035140000}"/>
    <cellStyle name="Note 21 4" xfId="2278" xr:uid="{00000000-0005-0000-0000-000036140000}"/>
    <cellStyle name="Note 21 4 2" xfId="2989" xr:uid="{00000000-0005-0000-0000-000037140000}"/>
    <cellStyle name="Note 21 4 2 2" xfId="4864" xr:uid="{00000000-0005-0000-0000-000038140000}"/>
    <cellStyle name="Note 21 4 3" xfId="4177" xr:uid="{00000000-0005-0000-0000-000039140000}"/>
    <cellStyle name="Note 22" xfId="254" xr:uid="{00000000-0005-0000-0000-00003A140000}"/>
    <cellStyle name="Note 22 2" xfId="3254" xr:uid="{00000000-0005-0000-0000-00003B140000}"/>
    <cellStyle name="Note 22 2 2" xfId="5108" xr:uid="{00000000-0005-0000-0000-00003C140000}"/>
    <cellStyle name="Note 22 3" xfId="3685" xr:uid="{00000000-0005-0000-0000-00003D140000}"/>
    <cellStyle name="Note 23" xfId="2480" xr:uid="{00000000-0005-0000-0000-00003E140000}"/>
    <cellStyle name="Note 23 2" xfId="4359" xr:uid="{00000000-0005-0000-0000-00003F140000}"/>
    <cellStyle name="Note 3" xfId="1995" xr:uid="{00000000-0005-0000-0000-000040140000}"/>
    <cellStyle name="Note 3 2" xfId="1996" xr:uid="{00000000-0005-0000-0000-000041140000}"/>
    <cellStyle name="Note 3 2 2" xfId="1997" xr:uid="{00000000-0005-0000-0000-000042140000}"/>
    <cellStyle name="Note 3 3" xfId="1998" xr:uid="{00000000-0005-0000-0000-000043140000}"/>
    <cellStyle name="Note 3 3 2" xfId="1999" xr:uid="{00000000-0005-0000-0000-000044140000}"/>
    <cellStyle name="Note 3 4" xfId="2000" xr:uid="{00000000-0005-0000-0000-000045140000}"/>
    <cellStyle name="Note 3 4 2" xfId="2001" xr:uid="{00000000-0005-0000-0000-000046140000}"/>
    <cellStyle name="Note 3 5" xfId="2002" xr:uid="{00000000-0005-0000-0000-000047140000}"/>
    <cellStyle name="Note 3 5 2" xfId="2003" xr:uid="{00000000-0005-0000-0000-000048140000}"/>
    <cellStyle name="Note 3 6" xfId="2004" xr:uid="{00000000-0005-0000-0000-000049140000}"/>
    <cellStyle name="Note 4" xfId="2005" xr:uid="{00000000-0005-0000-0000-00004A140000}"/>
    <cellStyle name="Note 4 2" xfId="2006" xr:uid="{00000000-0005-0000-0000-00004B140000}"/>
    <cellStyle name="Note 5" xfId="2007" xr:uid="{00000000-0005-0000-0000-00004C140000}"/>
    <cellStyle name="Note 5 2" xfId="2008" xr:uid="{00000000-0005-0000-0000-00004D140000}"/>
    <cellStyle name="Note 6" xfId="2009" xr:uid="{00000000-0005-0000-0000-00004E140000}"/>
    <cellStyle name="Note 6 2" xfId="2010" xr:uid="{00000000-0005-0000-0000-00004F140000}"/>
    <cellStyle name="Note 7" xfId="2011" xr:uid="{00000000-0005-0000-0000-000050140000}"/>
    <cellStyle name="Note 7 2" xfId="2012" xr:uid="{00000000-0005-0000-0000-000051140000}"/>
    <cellStyle name="Note 8" xfId="2013" xr:uid="{00000000-0005-0000-0000-000052140000}"/>
    <cellStyle name="Note 8 2" xfId="2014" xr:uid="{00000000-0005-0000-0000-000053140000}"/>
    <cellStyle name="Note 9" xfId="2015" xr:uid="{00000000-0005-0000-0000-000054140000}"/>
    <cellStyle name="Note 9 2" xfId="2016" xr:uid="{00000000-0005-0000-0000-000055140000}"/>
    <cellStyle name="Output" xfId="222" builtinId="21" customBuiltin="1"/>
    <cellStyle name="Output 10" xfId="2017" xr:uid="{00000000-0005-0000-0000-000057140000}"/>
    <cellStyle name="Output 11" xfId="2018" xr:uid="{00000000-0005-0000-0000-000058140000}"/>
    <cellStyle name="Output 12" xfId="2019" xr:uid="{00000000-0005-0000-0000-000059140000}"/>
    <cellStyle name="Output 13" xfId="2020" xr:uid="{00000000-0005-0000-0000-00005A140000}"/>
    <cellStyle name="Output 14" xfId="2021" xr:uid="{00000000-0005-0000-0000-00005B140000}"/>
    <cellStyle name="Output 15" xfId="2022" xr:uid="{00000000-0005-0000-0000-00005C140000}"/>
    <cellStyle name="Output 16" xfId="2023" xr:uid="{00000000-0005-0000-0000-00005D140000}"/>
    <cellStyle name="Output 17" xfId="2024" xr:uid="{00000000-0005-0000-0000-00005E140000}"/>
    <cellStyle name="Output 18" xfId="2025" xr:uid="{00000000-0005-0000-0000-00005F140000}"/>
    <cellStyle name="Output 19" xfId="2026" xr:uid="{00000000-0005-0000-0000-000060140000}"/>
    <cellStyle name="Output 2" xfId="2027" xr:uid="{00000000-0005-0000-0000-000061140000}"/>
    <cellStyle name="Output 2 2" xfId="2028" xr:uid="{00000000-0005-0000-0000-000062140000}"/>
    <cellStyle name="Output 2 3" xfId="2029" xr:uid="{00000000-0005-0000-0000-000063140000}"/>
    <cellStyle name="Output 2 4" xfId="2030" xr:uid="{00000000-0005-0000-0000-000064140000}"/>
    <cellStyle name="Output 2 5" xfId="2031" xr:uid="{00000000-0005-0000-0000-000065140000}"/>
    <cellStyle name="Output 3" xfId="2032" xr:uid="{00000000-0005-0000-0000-000066140000}"/>
    <cellStyle name="Output 4" xfId="2033" xr:uid="{00000000-0005-0000-0000-000067140000}"/>
    <cellStyle name="Output 5" xfId="2034" xr:uid="{00000000-0005-0000-0000-000068140000}"/>
    <cellStyle name="Output 6" xfId="2035" xr:uid="{00000000-0005-0000-0000-000069140000}"/>
    <cellStyle name="Output 7" xfId="2036" xr:uid="{00000000-0005-0000-0000-00006A140000}"/>
    <cellStyle name="Output 8" xfId="2037" xr:uid="{00000000-0005-0000-0000-00006B140000}"/>
    <cellStyle name="Output 9" xfId="2038" xr:uid="{00000000-0005-0000-0000-00006C140000}"/>
    <cellStyle name="Percent" xfId="5" builtinId="5"/>
    <cellStyle name="Percent 10" xfId="2040" xr:uid="{00000000-0005-0000-0000-00006E140000}"/>
    <cellStyle name="Percent 11" xfId="2041" xr:uid="{00000000-0005-0000-0000-00006F140000}"/>
    <cellStyle name="Percent 11 2" xfId="2042" xr:uid="{00000000-0005-0000-0000-000070140000}"/>
    <cellStyle name="Percent 12" xfId="2043" xr:uid="{00000000-0005-0000-0000-000071140000}"/>
    <cellStyle name="Percent 13" xfId="2039" xr:uid="{00000000-0005-0000-0000-000072140000}"/>
    <cellStyle name="Percent 14" xfId="3464" xr:uid="{00000000-0005-0000-0000-000073140000}"/>
    <cellStyle name="Percent 15" xfId="2044" xr:uid="{00000000-0005-0000-0000-000074140000}"/>
    <cellStyle name="Percent 15 2" xfId="2045" xr:uid="{00000000-0005-0000-0000-000075140000}"/>
    <cellStyle name="Percent 16" xfId="5392" xr:uid="{00000000-0005-0000-0000-000076140000}"/>
    <cellStyle name="Percent 2" xfId="9" xr:uid="{00000000-0005-0000-0000-000077140000}"/>
    <cellStyle name="Percent 2 10" xfId="2046" xr:uid="{00000000-0005-0000-0000-000078140000}"/>
    <cellStyle name="Percent 2 10 2" xfId="2047" xr:uid="{00000000-0005-0000-0000-000079140000}"/>
    <cellStyle name="Percent 2 11" xfId="2048" xr:uid="{00000000-0005-0000-0000-00007A140000}"/>
    <cellStyle name="Percent 2 11 2" xfId="2049" xr:uid="{00000000-0005-0000-0000-00007B140000}"/>
    <cellStyle name="Percent 2 12" xfId="2050" xr:uid="{00000000-0005-0000-0000-00007C140000}"/>
    <cellStyle name="Percent 2 12 2" xfId="2051" xr:uid="{00000000-0005-0000-0000-00007D140000}"/>
    <cellStyle name="Percent 2 13" xfId="2052" xr:uid="{00000000-0005-0000-0000-00007E140000}"/>
    <cellStyle name="Percent 2 13 2" xfId="2053" xr:uid="{00000000-0005-0000-0000-00007F140000}"/>
    <cellStyle name="Percent 2 14" xfId="2054" xr:uid="{00000000-0005-0000-0000-000080140000}"/>
    <cellStyle name="Percent 2 14 2" xfId="2055" xr:uid="{00000000-0005-0000-0000-000081140000}"/>
    <cellStyle name="Percent 2 15" xfId="2056" xr:uid="{00000000-0005-0000-0000-000082140000}"/>
    <cellStyle name="Percent 2 15 2" xfId="2057" xr:uid="{00000000-0005-0000-0000-000083140000}"/>
    <cellStyle name="Percent 2 16" xfId="2058" xr:uid="{00000000-0005-0000-0000-000084140000}"/>
    <cellStyle name="Percent 2 16 2" xfId="2059" xr:uid="{00000000-0005-0000-0000-000085140000}"/>
    <cellStyle name="Percent 2 17" xfId="2060" xr:uid="{00000000-0005-0000-0000-000086140000}"/>
    <cellStyle name="Percent 2 18" xfId="2061" xr:uid="{00000000-0005-0000-0000-000087140000}"/>
    <cellStyle name="Percent 2 2" xfId="2062" xr:uid="{00000000-0005-0000-0000-000088140000}"/>
    <cellStyle name="Percent 2 2 2" xfId="2063" xr:uid="{00000000-0005-0000-0000-000089140000}"/>
    <cellStyle name="Percent 2 2 2 2" xfId="2064" xr:uid="{00000000-0005-0000-0000-00008A140000}"/>
    <cellStyle name="Percent 2 2 3" xfId="2065" xr:uid="{00000000-0005-0000-0000-00008B140000}"/>
    <cellStyle name="Percent 2 2 3 2" xfId="2066" xr:uid="{00000000-0005-0000-0000-00008C140000}"/>
    <cellStyle name="Percent 2 2 4" xfId="2067" xr:uid="{00000000-0005-0000-0000-00008D140000}"/>
    <cellStyle name="Percent 2 2 4 2" xfId="2068" xr:uid="{00000000-0005-0000-0000-00008E140000}"/>
    <cellStyle name="Percent 2 2 5" xfId="2069" xr:uid="{00000000-0005-0000-0000-00008F140000}"/>
    <cellStyle name="Percent 2 2 5 2" xfId="2070" xr:uid="{00000000-0005-0000-0000-000090140000}"/>
    <cellStyle name="Percent 2 2 6" xfId="2071" xr:uid="{00000000-0005-0000-0000-000091140000}"/>
    <cellStyle name="Percent 2 3" xfId="2072" xr:uid="{00000000-0005-0000-0000-000092140000}"/>
    <cellStyle name="Percent 2 3 2" xfId="2073" xr:uid="{00000000-0005-0000-0000-000093140000}"/>
    <cellStyle name="Percent 2 3 2 2" xfId="2074" xr:uid="{00000000-0005-0000-0000-000094140000}"/>
    <cellStyle name="Percent 2 3 3" xfId="2075" xr:uid="{00000000-0005-0000-0000-000095140000}"/>
    <cellStyle name="Percent 2 3 3 2" xfId="2076" xr:uid="{00000000-0005-0000-0000-000096140000}"/>
    <cellStyle name="Percent 2 3 4" xfId="2077" xr:uid="{00000000-0005-0000-0000-000097140000}"/>
    <cellStyle name="Percent 2 3 4 2" xfId="2078" xr:uid="{00000000-0005-0000-0000-000098140000}"/>
    <cellStyle name="Percent 2 3 5" xfId="2079" xr:uid="{00000000-0005-0000-0000-000099140000}"/>
    <cellStyle name="Percent 2 3 5 2" xfId="2080" xr:uid="{00000000-0005-0000-0000-00009A140000}"/>
    <cellStyle name="Percent 2 3 6" xfId="2081" xr:uid="{00000000-0005-0000-0000-00009B140000}"/>
    <cellStyle name="Percent 2 3 7" xfId="2082" xr:uid="{00000000-0005-0000-0000-00009C140000}"/>
    <cellStyle name="Percent 2 4" xfId="2083" xr:uid="{00000000-0005-0000-0000-00009D140000}"/>
    <cellStyle name="Percent 2 4 2" xfId="2084" xr:uid="{00000000-0005-0000-0000-00009E140000}"/>
    <cellStyle name="Percent 2 4 2 2" xfId="2085" xr:uid="{00000000-0005-0000-0000-00009F140000}"/>
    <cellStyle name="Percent 2 4 3" xfId="2086" xr:uid="{00000000-0005-0000-0000-0000A0140000}"/>
    <cellStyle name="Percent 2 4 3 2" xfId="2087" xr:uid="{00000000-0005-0000-0000-0000A1140000}"/>
    <cellStyle name="Percent 2 4 4" xfId="2088" xr:uid="{00000000-0005-0000-0000-0000A2140000}"/>
    <cellStyle name="Percent 2 4 4 2" xfId="2089" xr:uid="{00000000-0005-0000-0000-0000A3140000}"/>
    <cellStyle name="Percent 2 4 5" xfId="2090" xr:uid="{00000000-0005-0000-0000-0000A4140000}"/>
    <cellStyle name="Percent 2 4 5 2" xfId="2091" xr:uid="{00000000-0005-0000-0000-0000A5140000}"/>
    <cellStyle name="Percent 2 4 6" xfId="2092" xr:uid="{00000000-0005-0000-0000-0000A6140000}"/>
    <cellStyle name="Percent 2 5" xfId="2093" xr:uid="{00000000-0005-0000-0000-0000A7140000}"/>
    <cellStyle name="Percent 2 5 2" xfId="2094" xr:uid="{00000000-0005-0000-0000-0000A8140000}"/>
    <cellStyle name="Percent 2 6" xfId="2095" xr:uid="{00000000-0005-0000-0000-0000A9140000}"/>
    <cellStyle name="Percent 2 6 2" xfId="2096" xr:uid="{00000000-0005-0000-0000-0000AA140000}"/>
    <cellStyle name="Percent 2 7" xfId="2097" xr:uid="{00000000-0005-0000-0000-0000AB140000}"/>
    <cellStyle name="Percent 2 7 2" xfId="2098" xr:uid="{00000000-0005-0000-0000-0000AC140000}"/>
    <cellStyle name="Percent 2 8" xfId="2099" xr:uid="{00000000-0005-0000-0000-0000AD140000}"/>
    <cellStyle name="Percent 2 8 2" xfId="2100" xr:uid="{00000000-0005-0000-0000-0000AE140000}"/>
    <cellStyle name="Percent 2 9" xfId="2101" xr:uid="{00000000-0005-0000-0000-0000AF140000}"/>
    <cellStyle name="Percent 2 9 2" xfId="2102" xr:uid="{00000000-0005-0000-0000-0000B0140000}"/>
    <cellStyle name="Percent 3" xfId="2103" xr:uid="{00000000-0005-0000-0000-0000B1140000}"/>
    <cellStyle name="Percent 4" xfId="2104" xr:uid="{00000000-0005-0000-0000-0000B2140000}"/>
    <cellStyle name="Percent 5" xfId="2105" xr:uid="{00000000-0005-0000-0000-0000B3140000}"/>
    <cellStyle name="Percent 6" xfId="2106" xr:uid="{00000000-0005-0000-0000-0000B4140000}"/>
    <cellStyle name="Percent 6 2" xfId="2107" xr:uid="{00000000-0005-0000-0000-0000B5140000}"/>
    <cellStyle name="Percent 6 3" xfId="2196" xr:uid="{00000000-0005-0000-0000-0000B6140000}"/>
    <cellStyle name="Percent 6 3 2" xfId="2910" xr:uid="{00000000-0005-0000-0000-0000B7140000}"/>
    <cellStyle name="Percent 6 3 2 2" xfId="4785" xr:uid="{00000000-0005-0000-0000-0000B8140000}"/>
    <cellStyle name="Percent 6 3 3" xfId="4098" xr:uid="{00000000-0005-0000-0000-0000B9140000}"/>
    <cellStyle name="Percent 7" xfId="2108" xr:uid="{00000000-0005-0000-0000-0000BA140000}"/>
    <cellStyle name="Percent 8" xfId="2109" xr:uid="{00000000-0005-0000-0000-0000BB140000}"/>
    <cellStyle name="Percent 8 2" xfId="2276" xr:uid="{00000000-0005-0000-0000-0000BC140000}"/>
    <cellStyle name="Percent 8 3" xfId="2199" xr:uid="{00000000-0005-0000-0000-0000BD140000}"/>
    <cellStyle name="Percent 8 3 2" xfId="2913" xr:uid="{00000000-0005-0000-0000-0000BE140000}"/>
    <cellStyle name="Percent 8 3 2 2" xfId="4788" xr:uid="{00000000-0005-0000-0000-0000BF140000}"/>
    <cellStyle name="Percent 8 3 3" xfId="4101" xr:uid="{00000000-0005-0000-0000-0000C0140000}"/>
    <cellStyle name="Percent 9" xfId="2110" xr:uid="{00000000-0005-0000-0000-0000C1140000}"/>
    <cellStyle name="Style 1" xfId="2111" xr:uid="{00000000-0005-0000-0000-0000C2140000}"/>
    <cellStyle name="Style 1 2" xfId="2112" xr:uid="{00000000-0005-0000-0000-0000C3140000}"/>
    <cellStyle name="Style 1 3" xfId="2113" xr:uid="{00000000-0005-0000-0000-0000C4140000}"/>
    <cellStyle name="Style 1 4" xfId="2114" xr:uid="{00000000-0005-0000-0000-0000C5140000}"/>
    <cellStyle name="Style 1 5" xfId="2115" xr:uid="{00000000-0005-0000-0000-0000C6140000}"/>
    <cellStyle name="Style 1 5 2" xfId="2116" xr:uid="{00000000-0005-0000-0000-0000C7140000}"/>
    <cellStyle name="Style 1 6" xfId="2117" xr:uid="{00000000-0005-0000-0000-0000C8140000}"/>
    <cellStyle name="Style 1 6 2" xfId="2118" xr:uid="{00000000-0005-0000-0000-0000C9140000}"/>
    <cellStyle name="Style 1 7" xfId="2119" xr:uid="{00000000-0005-0000-0000-0000CA140000}"/>
    <cellStyle name="Style 1 7 2" xfId="2120" xr:uid="{00000000-0005-0000-0000-0000CB140000}"/>
    <cellStyle name="Style 1 8" xfId="2121" xr:uid="{00000000-0005-0000-0000-0000CC140000}"/>
    <cellStyle name="Style 1 8 2" xfId="2122" xr:uid="{00000000-0005-0000-0000-0000CD140000}"/>
    <cellStyle name="Style 1 9" xfId="2123" xr:uid="{00000000-0005-0000-0000-0000CE140000}"/>
    <cellStyle name="Style 1_Cash Flow Working" xfId="2124" xr:uid="{00000000-0005-0000-0000-0000CF140000}"/>
    <cellStyle name="Title" xfId="213" builtinId="15" customBuiltin="1"/>
    <cellStyle name="Title 10" xfId="2125" xr:uid="{00000000-0005-0000-0000-0000D1140000}"/>
    <cellStyle name="Title 11" xfId="2126" xr:uid="{00000000-0005-0000-0000-0000D2140000}"/>
    <cellStyle name="Title 12" xfId="2127" xr:uid="{00000000-0005-0000-0000-0000D3140000}"/>
    <cellStyle name="Title 13" xfId="2128" xr:uid="{00000000-0005-0000-0000-0000D4140000}"/>
    <cellStyle name="Title 14" xfId="2129" xr:uid="{00000000-0005-0000-0000-0000D5140000}"/>
    <cellStyle name="Title 15" xfId="2130" xr:uid="{00000000-0005-0000-0000-0000D6140000}"/>
    <cellStyle name="Title 2" xfId="2131" xr:uid="{00000000-0005-0000-0000-0000D7140000}"/>
    <cellStyle name="Title 2 2" xfId="2132" xr:uid="{00000000-0005-0000-0000-0000D8140000}"/>
    <cellStyle name="Title 2 3" xfId="2133" xr:uid="{00000000-0005-0000-0000-0000D9140000}"/>
    <cellStyle name="Title 2 4" xfId="2134" xr:uid="{00000000-0005-0000-0000-0000DA140000}"/>
    <cellStyle name="Title 2 5" xfId="2135" xr:uid="{00000000-0005-0000-0000-0000DB140000}"/>
    <cellStyle name="Title 3" xfId="2136" xr:uid="{00000000-0005-0000-0000-0000DC140000}"/>
    <cellStyle name="Title 4" xfId="2137" xr:uid="{00000000-0005-0000-0000-0000DD140000}"/>
    <cellStyle name="Title 5" xfId="2138" xr:uid="{00000000-0005-0000-0000-0000DE140000}"/>
    <cellStyle name="Title 6" xfId="2139" xr:uid="{00000000-0005-0000-0000-0000DF140000}"/>
    <cellStyle name="Title 7" xfId="2140" xr:uid="{00000000-0005-0000-0000-0000E0140000}"/>
    <cellStyle name="Title 8" xfId="2141" xr:uid="{00000000-0005-0000-0000-0000E1140000}"/>
    <cellStyle name="Title 9" xfId="2142" xr:uid="{00000000-0005-0000-0000-0000E2140000}"/>
    <cellStyle name="Total" xfId="228" builtinId="25" customBuiltin="1"/>
    <cellStyle name="Total 10" xfId="2143" xr:uid="{00000000-0005-0000-0000-0000E4140000}"/>
    <cellStyle name="Total 11" xfId="2144" xr:uid="{00000000-0005-0000-0000-0000E5140000}"/>
    <cellStyle name="Total 12" xfId="2145" xr:uid="{00000000-0005-0000-0000-0000E6140000}"/>
    <cellStyle name="Total 13" xfId="2146" xr:uid="{00000000-0005-0000-0000-0000E7140000}"/>
    <cellStyle name="Total 14" xfId="2147" xr:uid="{00000000-0005-0000-0000-0000E8140000}"/>
    <cellStyle name="Total 15" xfId="2148" xr:uid="{00000000-0005-0000-0000-0000E9140000}"/>
    <cellStyle name="Total 16" xfId="2149" xr:uid="{00000000-0005-0000-0000-0000EA140000}"/>
    <cellStyle name="Total 17" xfId="2150" xr:uid="{00000000-0005-0000-0000-0000EB140000}"/>
    <cellStyle name="Total 18" xfId="2151" xr:uid="{00000000-0005-0000-0000-0000EC140000}"/>
    <cellStyle name="Total 19" xfId="2152" xr:uid="{00000000-0005-0000-0000-0000ED140000}"/>
    <cellStyle name="Total 2" xfId="2153" xr:uid="{00000000-0005-0000-0000-0000EE140000}"/>
    <cellStyle name="Total 2 2" xfId="2154" xr:uid="{00000000-0005-0000-0000-0000EF140000}"/>
    <cellStyle name="Total 2 3" xfId="2155" xr:uid="{00000000-0005-0000-0000-0000F0140000}"/>
    <cellStyle name="Total 2 4" xfId="2156" xr:uid="{00000000-0005-0000-0000-0000F1140000}"/>
    <cellStyle name="Total 2 5" xfId="2157" xr:uid="{00000000-0005-0000-0000-0000F2140000}"/>
    <cellStyle name="Total 3" xfId="2158" xr:uid="{00000000-0005-0000-0000-0000F3140000}"/>
    <cellStyle name="Total 4" xfId="2159" xr:uid="{00000000-0005-0000-0000-0000F4140000}"/>
    <cellStyle name="Total 5" xfId="2160" xr:uid="{00000000-0005-0000-0000-0000F5140000}"/>
    <cellStyle name="Total 6" xfId="2161" xr:uid="{00000000-0005-0000-0000-0000F6140000}"/>
    <cellStyle name="Total 7" xfId="2162" xr:uid="{00000000-0005-0000-0000-0000F7140000}"/>
    <cellStyle name="Total 8" xfId="2163" xr:uid="{00000000-0005-0000-0000-0000F8140000}"/>
    <cellStyle name="Total 9" xfId="2164" xr:uid="{00000000-0005-0000-0000-0000F9140000}"/>
    <cellStyle name="Warning Text" xfId="226" builtinId="11" customBuiltin="1"/>
    <cellStyle name="Warning Text 10" xfId="2165" xr:uid="{00000000-0005-0000-0000-0000FB140000}"/>
    <cellStyle name="Warning Text 11" xfId="2166" xr:uid="{00000000-0005-0000-0000-0000FC140000}"/>
    <cellStyle name="Warning Text 12" xfId="2167" xr:uid="{00000000-0005-0000-0000-0000FD140000}"/>
    <cellStyle name="Warning Text 13" xfId="2168" xr:uid="{00000000-0005-0000-0000-0000FE140000}"/>
    <cellStyle name="Warning Text 14" xfId="2169" xr:uid="{00000000-0005-0000-0000-0000FF140000}"/>
    <cellStyle name="Warning Text 15" xfId="2170" xr:uid="{00000000-0005-0000-0000-000000150000}"/>
    <cellStyle name="Warning Text 16" xfId="2171" xr:uid="{00000000-0005-0000-0000-000001150000}"/>
    <cellStyle name="Warning Text 17" xfId="2172" xr:uid="{00000000-0005-0000-0000-000002150000}"/>
    <cellStyle name="Warning Text 18" xfId="2173" xr:uid="{00000000-0005-0000-0000-000003150000}"/>
    <cellStyle name="Warning Text 19" xfId="2174" xr:uid="{00000000-0005-0000-0000-000004150000}"/>
    <cellStyle name="Warning Text 2" xfId="2175" xr:uid="{00000000-0005-0000-0000-000005150000}"/>
    <cellStyle name="Warning Text 2 2" xfId="2176" xr:uid="{00000000-0005-0000-0000-000006150000}"/>
    <cellStyle name="Warning Text 2 3" xfId="2177" xr:uid="{00000000-0005-0000-0000-000007150000}"/>
    <cellStyle name="Warning Text 2 4" xfId="2178" xr:uid="{00000000-0005-0000-0000-000008150000}"/>
    <cellStyle name="Warning Text 2 5" xfId="2179" xr:uid="{00000000-0005-0000-0000-000009150000}"/>
    <cellStyle name="Warning Text 3" xfId="2180" xr:uid="{00000000-0005-0000-0000-00000A150000}"/>
    <cellStyle name="Warning Text 4" xfId="2181" xr:uid="{00000000-0005-0000-0000-00000B150000}"/>
    <cellStyle name="Warning Text 5" xfId="2182" xr:uid="{00000000-0005-0000-0000-00000C150000}"/>
    <cellStyle name="Warning Text 6" xfId="2183" xr:uid="{00000000-0005-0000-0000-00000D150000}"/>
    <cellStyle name="Warning Text 7" xfId="2184" xr:uid="{00000000-0005-0000-0000-00000E150000}"/>
    <cellStyle name="Warning Text 8" xfId="2185" xr:uid="{00000000-0005-0000-0000-00000F150000}"/>
    <cellStyle name="Warning Text 9" xfId="2186" xr:uid="{00000000-0005-0000-0000-00001015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xdr:col>
      <xdr:colOff>200266</xdr:colOff>
      <xdr:row>60</xdr:row>
      <xdr:rowOff>138920</xdr:rowOff>
    </xdr:from>
    <xdr:ext cx="45085" cy="3175"/>
    <xdr:sp macro="" textlink="">
      <xdr:nvSpPr>
        <xdr:cNvPr id="2" name="Shape 4">
          <a:extLst>
            <a:ext uri="{FF2B5EF4-FFF2-40B4-BE49-F238E27FC236}">
              <a16:creationId xmlns:a16="http://schemas.microsoft.com/office/drawing/2014/main" id="{00000000-0008-0000-0000-000002000000}"/>
            </a:ext>
          </a:extLst>
        </xdr:cNvPr>
        <xdr:cNvSpPr/>
      </xdr:nvSpPr>
      <xdr:spPr>
        <a:xfrm>
          <a:off x="305041" y="9959195"/>
          <a:ext cx="45085" cy="3175"/>
        </a:xfrm>
        <a:custGeom>
          <a:avLst/>
          <a:gdLst/>
          <a:ahLst/>
          <a:cxnLst/>
          <a:rect l="0" t="0" r="0" b="0"/>
          <a:pathLst>
            <a:path w="45085" h="3175">
              <a:moveTo>
                <a:pt x="44462" y="2933"/>
              </a:moveTo>
              <a:lnTo>
                <a:pt x="0" y="2933"/>
              </a:lnTo>
              <a:lnTo>
                <a:pt x="0" y="0"/>
              </a:lnTo>
              <a:lnTo>
                <a:pt x="44462" y="0"/>
              </a:lnTo>
              <a:lnTo>
                <a:pt x="44462" y="2933"/>
              </a:lnTo>
              <a:close/>
            </a:path>
          </a:pathLst>
        </a:custGeom>
        <a:solidFill>
          <a:srgbClr val="000000">
            <a:alpha val="50000"/>
          </a:srgbClr>
        </a:solidFill>
      </xdr:spPr>
    </xdr:sp>
    <xdr:clientData/>
  </xdr:oneCellAnchor>
  <xdr:oneCellAnchor>
    <xdr:from>
      <xdr:col>1</xdr:col>
      <xdr:colOff>2413888</xdr:colOff>
      <xdr:row>61</xdr:row>
      <xdr:rowOff>290938</xdr:rowOff>
    </xdr:from>
    <xdr:ext cx="45085" cy="3175"/>
    <xdr:sp macro="" textlink="">
      <xdr:nvSpPr>
        <xdr:cNvPr id="3" name="Shape 5">
          <a:extLst>
            <a:ext uri="{FF2B5EF4-FFF2-40B4-BE49-F238E27FC236}">
              <a16:creationId xmlns:a16="http://schemas.microsoft.com/office/drawing/2014/main" id="{00000000-0008-0000-0000-000003000000}"/>
            </a:ext>
          </a:extLst>
        </xdr:cNvPr>
        <xdr:cNvSpPr/>
      </xdr:nvSpPr>
      <xdr:spPr>
        <a:xfrm>
          <a:off x="2518663" y="10577938"/>
          <a:ext cx="45085" cy="3175"/>
        </a:xfrm>
        <a:custGeom>
          <a:avLst/>
          <a:gdLst/>
          <a:ahLst/>
          <a:cxnLst/>
          <a:rect l="0" t="0" r="0" b="0"/>
          <a:pathLst>
            <a:path w="45085" h="3175">
              <a:moveTo>
                <a:pt x="44462" y="2933"/>
              </a:moveTo>
              <a:lnTo>
                <a:pt x="0" y="2933"/>
              </a:lnTo>
              <a:lnTo>
                <a:pt x="0" y="0"/>
              </a:lnTo>
              <a:lnTo>
                <a:pt x="44462" y="0"/>
              </a:lnTo>
              <a:lnTo>
                <a:pt x="44462" y="2933"/>
              </a:lnTo>
              <a:close/>
            </a:path>
          </a:pathLst>
        </a:custGeom>
        <a:solidFill>
          <a:srgbClr val="000000">
            <a:alpha val="50000"/>
          </a:srgbClr>
        </a:solidFill>
      </xdr:spPr>
    </xdr:sp>
    <xdr:clientData/>
  </xdr:oneCellAnchor>
  <xdr:oneCellAnchor>
    <xdr:from>
      <xdr:col>1</xdr:col>
      <xdr:colOff>1903691</xdr:colOff>
      <xdr:row>61</xdr:row>
      <xdr:rowOff>435718</xdr:rowOff>
    </xdr:from>
    <xdr:ext cx="45085" cy="3175"/>
    <xdr:sp macro="" textlink="">
      <xdr:nvSpPr>
        <xdr:cNvPr id="4" name="Shape 6">
          <a:extLst>
            <a:ext uri="{FF2B5EF4-FFF2-40B4-BE49-F238E27FC236}">
              <a16:creationId xmlns:a16="http://schemas.microsoft.com/office/drawing/2014/main" id="{00000000-0008-0000-0000-000004000000}"/>
            </a:ext>
          </a:extLst>
        </xdr:cNvPr>
        <xdr:cNvSpPr/>
      </xdr:nvSpPr>
      <xdr:spPr>
        <a:xfrm>
          <a:off x="2008466" y="10722718"/>
          <a:ext cx="45085" cy="3175"/>
        </a:xfrm>
        <a:custGeom>
          <a:avLst/>
          <a:gdLst/>
          <a:ahLst/>
          <a:cxnLst/>
          <a:rect l="0" t="0" r="0" b="0"/>
          <a:pathLst>
            <a:path w="45085" h="3175">
              <a:moveTo>
                <a:pt x="44462" y="2933"/>
              </a:moveTo>
              <a:lnTo>
                <a:pt x="0" y="2933"/>
              </a:lnTo>
              <a:lnTo>
                <a:pt x="0" y="0"/>
              </a:lnTo>
              <a:lnTo>
                <a:pt x="44462" y="0"/>
              </a:lnTo>
              <a:lnTo>
                <a:pt x="44462" y="2933"/>
              </a:lnTo>
              <a:close/>
            </a:path>
          </a:pathLst>
        </a:custGeom>
        <a:solidFill>
          <a:srgbClr val="000000">
            <a:alpha val="50000"/>
          </a:srgbClr>
        </a:solidFill>
      </xdr:spPr>
    </xdr:sp>
    <xdr:clientData/>
  </xdr:oneCellAnchor>
  <xdr:oneCellAnchor>
    <xdr:from>
      <xdr:col>1</xdr:col>
      <xdr:colOff>193903</xdr:colOff>
      <xdr:row>62</xdr:row>
      <xdr:rowOff>138920</xdr:rowOff>
    </xdr:from>
    <xdr:ext cx="45085" cy="3175"/>
    <xdr:sp macro="" textlink="">
      <xdr:nvSpPr>
        <xdr:cNvPr id="5" name="Shape 7">
          <a:extLst>
            <a:ext uri="{FF2B5EF4-FFF2-40B4-BE49-F238E27FC236}">
              <a16:creationId xmlns:a16="http://schemas.microsoft.com/office/drawing/2014/main" id="{00000000-0008-0000-0000-000005000000}"/>
            </a:ext>
          </a:extLst>
        </xdr:cNvPr>
        <xdr:cNvSpPr/>
      </xdr:nvSpPr>
      <xdr:spPr>
        <a:xfrm>
          <a:off x="298678" y="11045045"/>
          <a:ext cx="45085" cy="3175"/>
        </a:xfrm>
        <a:custGeom>
          <a:avLst/>
          <a:gdLst/>
          <a:ahLst/>
          <a:cxnLst/>
          <a:rect l="0" t="0" r="0" b="0"/>
          <a:pathLst>
            <a:path w="45085" h="3175">
              <a:moveTo>
                <a:pt x="44462" y="2933"/>
              </a:moveTo>
              <a:lnTo>
                <a:pt x="0" y="2933"/>
              </a:lnTo>
              <a:lnTo>
                <a:pt x="0" y="0"/>
              </a:lnTo>
              <a:lnTo>
                <a:pt x="44462" y="0"/>
              </a:lnTo>
              <a:lnTo>
                <a:pt x="44462" y="2933"/>
              </a:lnTo>
              <a:close/>
            </a:path>
          </a:pathLst>
        </a:custGeom>
        <a:solidFill>
          <a:srgbClr val="000000">
            <a:alpha val="50000"/>
          </a:srgbClr>
        </a:solidFill>
      </xdr:spPr>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30</xdr:row>
      <xdr:rowOff>0</xdr:rowOff>
    </xdr:from>
    <xdr:to>
      <xdr:col>4</xdr:col>
      <xdr:colOff>85725</xdr:colOff>
      <xdr:row>30</xdr:row>
      <xdr:rowOff>85725</xdr:rowOff>
    </xdr:to>
    <xdr:sp macro="" textlink="">
      <xdr:nvSpPr>
        <xdr:cNvPr id="4" name="AutoShape 26">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4229100" y="8877300"/>
          <a:ext cx="85725" cy="85725"/>
        </a:xfrm>
        <a:prstGeom prst="rect">
          <a:avLst/>
        </a:prstGeom>
        <a:noFill/>
        <a:ln w="9525">
          <a:noFill/>
          <a:miter lim="800000"/>
          <a:headEnd/>
          <a:tailEnd/>
        </a:ln>
      </xdr:spPr>
    </xdr:sp>
    <xdr:clientData/>
  </xdr:twoCellAnchor>
  <xdr:twoCellAnchor>
    <xdr:from>
      <xdr:col>4</xdr:col>
      <xdr:colOff>0</xdr:colOff>
      <xdr:row>30</xdr:row>
      <xdr:rowOff>0</xdr:rowOff>
    </xdr:from>
    <xdr:to>
      <xdr:col>4</xdr:col>
      <xdr:colOff>85725</xdr:colOff>
      <xdr:row>30</xdr:row>
      <xdr:rowOff>85725</xdr:rowOff>
    </xdr:to>
    <xdr:sp macro="" textlink="">
      <xdr:nvSpPr>
        <xdr:cNvPr id="5" name="AutoShape 25">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4229100" y="8877300"/>
          <a:ext cx="85725" cy="85725"/>
        </a:xfrm>
        <a:prstGeom prst="rect">
          <a:avLst/>
        </a:prstGeom>
        <a:noFill/>
        <a:ln w="9525">
          <a:noFill/>
          <a:miter lim="800000"/>
          <a:headEnd/>
          <a:tailEnd/>
        </a:ln>
      </xdr:spPr>
    </xdr:sp>
    <xdr:clientData/>
  </xdr:twoCellAnchor>
  <xdr:twoCellAnchor>
    <xdr:from>
      <xdr:col>4</xdr:col>
      <xdr:colOff>0</xdr:colOff>
      <xdr:row>30</xdr:row>
      <xdr:rowOff>0</xdr:rowOff>
    </xdr:from>
    <xdr:to>
      <xdr:col>4</xdr:col>
      <xdr:colOff>85725</xdr:colOff>
      <xdr:row>30</xdr:row>
      <xdr:rowOff>85725</xdr:rowOff>
    </xdr:to>
    <xdr:sp macro="" textlink="">
      <xdr:nvSpPr>
        <xdr:cNvPr id="6" name="AutoShape 24">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4229100" y="8877300"/>
          <a:ext cx="85725" cy="85725"/>
        </a:xfrm>
        <a:prstGeom prst="rect">
          <a:avLst/>
        </a:prstGeom>
        <a:noFill/>
        <a:ln w="9525">
          <a:noFill/>
          <a:miter lim="800000"/>
          <a:headEnd/>
          <a:tailEnd/>
        </a:ln>
      </xdr:spPr>
    </xdr:sp>
    <xdr:clientData/>
  </xdr:twoCellAnchor>
  <xdr:twoCellAnchor>
    <xdr:from>
      <xdr:col>4</xdr:col>
      <xdr:colOff>0</xdr:colOff>
      <xdr:row>29</xdr:row>
      <xdr:rowOff>0</xdr:rowOff>
    </xdr:from>
    <xdr:to>
      <xdr:col>4</xdr:col>
      <xdr:colOff>85725</xdr:colOff>
      <xdr:row>29</xdr:row>
      <xdr:rowOff>85725</xdr:rowOff>
    </xdr:to>
    <xdr:sp macro="" textlink="">
      <xdr:nvSpPr>
        <xdr:cNvPr id="31" name="AutoShape 1">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4229100" y="8477250"/>
          <a:ext cx="85725" cy="85725"/>
        </a:xfrm>
        <a:prstGeom prst="rect">
          <a:avLst/>
        </a:prstGeom>
        <a:noFill/>
        <a:ln w="9525">
          <a:noFill/>
          <a:miter lim="800000"/>
          <a:headEnd/>
          <a:tailEnd/>
        </a:ln>
      </xdr:spPr>
    </xdr:sp>
    <xdr:clientData/>
  </xdr:twoCellAnchor>
  <xdr:twoCellAnchor>
    <xdr:from>
      <xdr:col>4</xdr:col>
      <xdr:colOff>0</xdr:colOff>
      <xdr:row>30</xdr:row>
      <xdr:rowOff>0</xdr:rowOff>
    </xdr:from>
    <xdr:to>
      <xdr:col>4</xdr:col>
      <xdr:colOff>85725</xdr:colOff>
      <xdr:row>30</xdr:row>
      <xdr:rowOff>85725</xdr:rowOff>
    </xdr:to>
    <xdr:sp macro="" textlink="">
      <xdr:nvSpPr>
        <xdr:cNvPr id="61" name="AutoShape 26">
          <a:extLst>
            <a:ext uri="{FF2B5EF4-FFF2-40B4-BE49-F238E27FC236}">
              <a16:creationId xmlns:a16="http://schemas.microsoft.com/office/drawing/2014/main" id="{00000000-0008-0000-0100-00003D000000}"/>
            </a:ext>
          </a:extLst>
        </xdr:cNvPr>
        <xdr:cNvSpPr>
          <a:spLocks noChangeAspect="1" noChangeArrowheads="1"/>
        </xdr:cNvSpPr>
      </xdr:nvSpPr>
      <xdr:spPr bwMode="auto">
        <a:xfrm>
          <a:off x="4229100" y="8877300"/>
          <a:ext cx="85725" cy="85725"/>
        </a:xfrm>
        <a:prstGeom prst="rect">
          <a:avLst/>
        </a:prstGeom>
        <a:noFill/>
        <a:ln w="9525">
          <a:noFill/>
          <a:miter lim="800000"/>
          <a:headEnd/>
          <a:tailEnd/>
        </a:ln>
      </xdr:spPr>
    </xdr:sp>
    <xdr:clientData/>
  </xdr:twoCellAnchor>
  <xdr:twoCellAnchor>
    <xdr:from>
      <xdr:col>4</xdr:col>
      <xdr:colOff>0</xdr:colOff>
      <xdr:row>30</xdr:row>
      <xdr:rowOff>0</xdr:rowOff>
    </xdr:from>
    <xdr:to>
      <xdr:col>4</xdr:col>
      <xdr:colOff>85725</xdr:colOff>
      <xdr:row>30</xdr:row>
      <xdr:rowOff>85725</xdr:rowOff>
    </xdr:to>
    <xdr:sp macro="" textlink="">
      <xdr:nvSpPr>
        <xdr:cNvPr id="62" name="AutoShape 25">
          <a:extLst>
            <a:ext uri="{FF2B5EF4-FFF2-40B4-BE49-F238E27FC236}">
              <a16:creationId xmlns:a16="http://schemas.microsoft.com/office/drawing/2014/main" id="{00000000-0008-0000-0100-00003E000000}"/>
            </a:ext>
          </a:extLst>
        </xdr:cNvPr>
        <xdr:cNvSpPr>
          <a:spLocks noChangeAspect="1" noChangeArrowheads="1"/>
        </xdr:cNvSpPr>
      </xdr:nvSpPr>
      <xdr:spPr bwMode="auto">
        <a:xfrm>
          <a:off x="4229100" y="8877300"/>
          <a:ext cx="85725" cy="85725"/>
        </a:xfrm>
        <a:prstGeom prst="rect">
          <a:avLst/>
        </a:prstGeom>
        <a:noFill/>
        <a:ln w="9525">
          <a:noFill/>
          <a:miter lim="800000"/>
          <a:headEnd/>
          <a:tailEnd/>
        </a:ln>
      </xdr:spPr>
    </xdr:sp>
    <xdr:clientData/>
  </xdr:twoCellAnchor>
  <xdr:twoCellAnchor>
    <xdr:from>
      <xdr:col>4</xdr:col>
      <xdr:colOff>0</xdr:colOff>
      <xdr:row>30</xdr:row>
      <xdr:rowOff>0</xdr:rowOff>
    </xdr:from>
    <xdr:to>
      <xdr:col>4</xdr:col>
      <xdr:colOff>85725</xdr:colOff>
      <xdr:row>30</xdr:row>
      <xdr:rowOff>85725</xdr:rowOff>
    </xdr:to>
    <xdr:sp macro="" textlink="">
      <xdr:nvSpPr>
        <xdr:cNvPr id="63" name="AutoShape 24">
          <a:extLst>
            <a:ext uri="{FF2B5EF4-FFF2-40B4-BE49-F238E27FC236}">
              <a16:creationId xmlns:a16="http://schemas.microsoft.com/office/drawing/2014/main" id="{00000000-0008-0000-0100-00003F000000}"/>
            </a:ext>
          </a:extLst>
        </xdr:cNvPr>
        <xdr:cNvSpPr>
          <a:spLocks noChangeAspect="1" noChangeArrowheads="1"/>
        </xdr:cNvSpPr>
      </xdr:nvSpPr>
      <xdr:spPr bwMode="auto">
        <a:xfrm>
          <a:off x="4229100" y="8877300"/>
          <a:ext cx="85725" cy="85725"/>
        </a:xfrm>
        <a:prstGeom prst="rect">
          <a:avLst/>
        </a:prstGeom>
        <a:noFill/>
        <a:ln w="9525">
          <a:noFill/>
          <a:miter lim="800000"/>
          <a:headEnd/>
          <a:tailEnd/>
        </a:ln>
      </xdr:spPr>
    </xdr:sp>
    <xdr:clientData/>
  </xdr:twoCellAnchor>
  <xdr:twoCellAnchor>
    <xdr:from>
      <xdr:col>4</xdr:col>
      <xdr:colOff>0</xdr:colOff>
      <xdr:row>38</xdr:row>
      <xdr:rowOff>0</xdr:rowOff>
    </xdr:from>
    <xdr:to>
      <xdr:col>4</xdr:col>
      <xdr:colOff>85725</xdr:colOff>
      <xdr:row>38</xdr:row>
      <xdr:rowOff>85725</xdr:rowOff>
    </xdr:to>
    <xdr:sp macro="" textlink="">
      <xdr:nvSpPr>
        <xdr:cNvPr id="82" name="AutoShape 26">
          <a:extLst>
            <a:ext uri="{FF2B5EF4-FFF2-40B4-BE49-F238E27FC236}">
              <a16:creationId xmlns:a16="http://schemas.microsoft.com/office/drawing/2014/main" id="{00000000-0008-0000-0100-000052000000}"/>
            </a:ext>
          </a:extLst>
        </xdr:cNvPr>
        <xdr:cNvSpPr>
          <a:spLocks noChangeAspect="1" noChangeArrowheads="1"/>
        </xdr:cNvSpPr>
      </xdr:nvSpPr>
      <xdr:spPr bwMode="auto">
        <a:xfrm>
          <a:off x="4232413" y="7802217"/>
          <a:ext cx="85725" cy="85725"/>
        </a:xfrm>
        <a:prstGeom prst="rect">
          <a:avLst/>
        </a:prstGeom>
        <a:noFill/>
        <a:ln w="9525">
          <a:noFill/>
          <a:miter lim="800000"/>
          <a:headEnd/>
          <a:tailEnd/>
        </a:ln>
      </xdr:spPr>
    </xdr:sp>
    <xdr:clientData/>
  </xdr:twoCellAnchor>
  <xdr:twoCellAnchor>
    <xdr:from>
      <xdr:col>4</xdr:col>
      <xdr:colOff>0</xdr:colOff>
      <xdr:row>38</xdr:row>
      <xdr:rowOff>0</xdr:rowOff>
    </xdr:from>
    <xdr:to>
      <xdr:col>4</xdr:col>
      <xdr:colOff>85725</xdr:colOff>
      <xdr:row>38</xdr:row>
      <xdr:rowOff>85725</xdr:rowOff>
    </xdr:to>
    <xdr:sp macro="" textlink="">
      <xdr:nvSpPr>
        <xdr:cNvPr id="83" name="AutoShape 25">
          <a:extLst>
            <a:ext uri="{FF2B5EF4-FFF2-40B4-BE49-F238E27FC236}">
              <a16:creationId xmlns:a16="http://schemas.microsoft.com/office/drawing/2014/main" id="{00000000-0008-0000-0100-000053000000}"/>
            </a:ext>
          </a:extLst>
        </xdr:cNvPr>
        <xdr:cNvSpPr>
          <a:spLocks noChangeAspect="1" noChangeArrowheads="1"/>
        </xdr:cNvSpPr>
      </xdr:nvSpPr>
      <xdr:spPr bwMode="auto">
        <a:xfrm>
          <a:off x="4232413" y="7802217"/>
          <a:ext cx="85725" cy="85725"/>
        </a:xfrm>
        <a:prstGeom prst="rect">
          <a:avLst/>
        </a:prstGeom>
        <a:noFill/>
        <a:ln w="9525">
          <a:noFill/>
          <a:miter lim="800000"/>
          <a:headEnd/>
          <a:tailEnd/>
        </a:ln>
      </xdr:spPr>
    </xdr:sp>
    <xdr:clientData/>
  </xdr:twoCellAnchor>
  <xdr:twoCellAnchor>
    <xdr:from>
      <xdr:col>4</xdr:col>
      <xdr:colOff>0</xdr:colOff>
      <xdr:row>38</xdr:row>
      <xdr:rowOff>0</xdr:rowOff>
    </xdr:from>
    <xdr:to>
      <xdr:col>4</xdr:col>
      <xdr:colOff>85725</xdr:colOff>
      <xdr:row>38</xdr:row>
      <xdr:rowOff>85725</xdr:rowOff>
    </xdr:to>
    <xdr:sp macro="" textlink="">
      <xdr:nvSpPr>
        <xdr:cNvPr id="84" name="AutoShape 24">
          <a:extLst>
            <a:ext uri="{FF2B5EF4-FFF2-40B4-BE49-F238E27FC236}">
              <a16:creationId xmlns:a16="http://schemas.microsoft.com/office/drawing/2014/main" id="{00000000-0008-0000-0100-000054000000}"/>
            </a:ext>
          </a:extLst>
        </xdr:cNvPr>
        <xdr:cNvSpPr>
          <a:spLocks noChangeAspect="1" noChangeArrowheads="1"/>
        </xdr:cNvSpPr>
      </xdr:nvSpPr>
      <xdr:spPr bwMode="auto">
        <a:xfrm>
          <a:off x="4232413" y="7802217"/>
          <a:ext cx="85725" cy="85725"/>
        </a:xfrm>
        <a:prstGeom prst="rect">
          <a:avLst/>
        </a:prstGeom>
        <a:noFill/>
        <a:ln w="9525">
          <a:noFill/>
          <a:miter lim="800000"/>
          <a:headEnd/>
          <a:tailEnd/>
        </a:ln>
      </xdr:spPr>
    </xdr:sp>
    <xdr:clientData/>
  </xdr:twoCellAnchor>
  <xdr:twoCellAnchor>
    <xdr:from>
      <xdr:col>4</xdr:col>
      <xdr:colOff>0</xdr:colOff>
      <xdr:row>38</xdr:row>
      <xdr:rowOff>0</xdr:rowOff>
    </xdr:from>
    <xdr:to>
      <xdr:col>4</xdr:col>
      <xdr:colOff>85725</xdr:colOff>
      <xdr:row>38</xdr:row>
      <xdr:rowOff>85725</xdr:rowOff>
    </xdr:to>
    <xdr:sp macro="" textlink="">
      <xdr:nvSpPr>
        <xdr:cNvPr id="85" name="AutoShape 26">
          <a:extLst>
            <a:ext uri="{FF2B5EF4-FFF2-40B4-BE49-F238E27FC236}">
              <a16:creationId xmlns:a16="http://schemas.microsoft.com/office/drawing/2014/main" id="{00000000-0008-0000-0100-000055000000}"/>
            </a:ext>
          </a:extLst>
        </xdr:cNvPr>
        <xdr:cNvSpPr>
          <a:spLocks noChangeAspect="1" noChangeArrowheads="1"/>
        </xdr:cNvSpPr>
      </xdr:nvSpPr>
      <xdr:spPr bwMode="auto">
        <a:xfrm>
          <a:off x="4232413" y="7802217"/>
          <a:ext cx="85725" cy="85725"/>
        </a:xfrm>
        <a:prstGeom prst="rect">
          <a:avLst/>
        </a:prstGeom>
        <a:noFill/>
        <a:ln w="9525">
          <a:noFill/>
          <a:miter lim="800000"/>
          <a:headEnd/>
          <a:tailEnd/>
        </a:ln>
      </xdr:spPr>
    </xdr:sp>
    <xdr:clientData/>
  </xdr:twoCellAnchor>
  <xdr:twoCellAnchor>
    <xdr:from>
      <xdr:col>4</xdr:col>
      <xdr:colOff>0</xdr:colOff>
      <xdr:row>38</xdr:row>
      <xdr:rowOff>0</xdr:rowOff>
    </xdr:from>
    <xdr:to>
      <xdr:col>4</xdr:col>
      <xdr:colOff>85725</xdr:colOff>
      <xdr:row>38</xdr:row>
      <xdr:rowOff>85725</xdr:rowOff>
    </xdr:to>
    <xdr:sp macro="" textlink="">
      <xdr:nvSpPr>
        <xdr:cNvPr id="86" name="AutoShape 25">
          <a:extLst>
            <a:ext uri="{FF2B5EF4-FFF2-40B4-BE49-F238E27FC236}">
              <a16:creationId xmlns:a16="http://schemas.microsoft.com/office/drawing/2014/main" id="{00000000-0008-0000-0100-000056000000}"/>
            </a:ext>
          </a:extLst>
        </xdr:cNvPr>
        <xdr:cNvSpPr>
          <a:spLocks noChangeAspect="1" noChangeArrowheads="1"/>
        </xdr:cNvSpPr>
      </xdr:nvSpPr>
      <xdr:spPr bwMode="auto">
        <a:xfrm>
          <a:off x="4232413" y="7802217"/>
          <a:ext cx="85725" cy="85725"/>
        </a:xfrm>
        <a:prstGeom prst="rect">
          <a:avLst/>
        </a:prstGeom>
        <a:noFill/>
        <a:ln w="9525">
          <a:noFill/>
          <a:miter lim="800000"/>
          <a:headEnd/>
          <a:tailEnd/>
        </a:ln>
      </xdr:spPr>
    </xdr:sp>
    <xdr:clientData/>
  </xdr:twoCellAnchor>
  <xdr:twoCellAnchor>
    <xdr:from>
      <xdr:col>4</xdr:col>
      <xdr:colOff>0</xdr:colOff>
      <xdr:row>38</xdr:row>
      <xdr:rowOff>0</xdr:rowOff>
    </xdr:from>
    <xdr:to>
      <xdr:col>4</xdr:col>
      <xdr:colOff>85725</xdr:colOff>
      <xdr:row>38</xdr:row>
      <xdr:rowOff>85725</xdr:rowOff>
    </xdr:to>
    <xdr:sp macro="" textlink="">
      <xdr:nvSpPr>
        <xdr:cNvPr id="87" name="AutoShape 24">
          <a:extLst>
            <a:ext uri="{FF2B5EF4-FFF2-40B4-BE49-F238E27FC236}">
              <a16:creationId xmlns:a16="http://schemas.microsoft.com/office/drawing/2014/main" id="{00000000-0008-0000-0100-000057000000}"/>
            </a:ext>
          </a:extLst>
        </xdr:cNvPr>
        <xdr:cNvSpPr>
          <a:spLocks noChangeAspect="1" noChangeArrowheads="1"/>
        </xdr:cNvSpPr>
      </xdr:nvSpPr>
      <xdr:spPr bwMode="auto">
        <a:xfrm>
          <a:off x="4232413" y="7802217"/>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88" name="AutoShape 26">
          <a:extLst>
            <a:ext uri="{FF2B5EF4-FFF2-40B4-BE49-F238E27FC236}">
              <a16:creationId xmlns:a16="http://schemas.microsoft.com/office/drawing/2014/main" id="{00000000-0008-0000-0100-000058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89" name="AutoShape 25">
          <a:extLst>
            <a:ext uri="{FF2B5EF4-FFF2-40B4-BE49-F238E27FC236}">
              <a16:creationId xmlns:a16="http://schemas.microsoft.com/office/drawing/2014/main" id="{00000000-0008-0000-0100-000059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90" name="AutoShape 24">
          <a:extLst>
            <a:ext uri="{FF2B5EF4-FFF2-40B4-BE49-F238E27FC236}">
              <a16:creationId xmlns:a16="http://schemas.microsoft.com/office/drawing/2014/main" id="{00000000-0008-0000-0100-00005A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91" name="AutoShape 26">
          <a:extLst>
            <a:ext uri="{FF2B5EF4-FFF2-40B4-BE49-F238E27FC236}">
              <a16:creationId xmlns:a16="http://schemas.microsoft.com/office/drawing/2014/main" id="{00000000-0008-0000-0100-00005B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92" name="AutoShape 25">
          <a:extLst>
            <a:ext uri="{FF2B5EF4-FFF2-40B4-BE49-F238E27FC236}">
              <a16:creationId xmlns:a16="http://schemas.microsoft.com/office/drawing/2014/main" id="{00000000-0008-0000-0100-00005C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93" name="AutoShape 24">
          <a:extLst>
            <a:ext uri="{FF2B5EF4-FFF2-40B4-BE49-F238E27FC236}">
              <a16:creationId xmlns:a16="http://schemas.microsoft.com/office/drawing/2014/main" id="{00000000-0008-0000-0100-00005D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94" name="AutoShape 26">
          <a:extLst>
            <a:ext uri="{FF2B5EF4-FFF2-40B4-BE49-F238E27FC236}">
              <a16:creationId xmlns:a16="http://schemas.microsoft.com/office/drawing/2014/main" id="{00000000-0008-0000-0100-00005E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95" name="AutoShape 25">
          <a:extLst>
            <a:ext uri="{FF2B5EF4-FFF2-40B4-BE49-F238E27FC236}">
              <a16:creationId xmlns:a16="http://schemas.microsoft.com/office/drawing/2014/main" id="{00000000-0008-0000-0100-00005F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96" name="AutoShape 24">
          <a:extLst>
            <a:ext uri="{FF2B5EF4-FFF2-40B4-BE49-F238E27FC236}">
              <a16:creationId xmlns:a16="http://schemas.microsoft.com/office/drawing/2014/main" id="{00000000-0008-0000-0100-000060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97" name="AutoShape 26">
          <a:extLst>
            <a:ext uri="{FF2B5EF4-FFF2-40B4-BE49-F238E27FC236}">
              <a16:creationId xmlns:a16="http://schemas.microsoft.com/office/drawing/2014/main" id="{00000000-0008-0000-0100-000061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98" name="AutoShape 25">
          <a:extLst>
            <a:ext uri="{FF2B5EF4-FFF2-40B4-BE49-F238E27FC236}">
              <a16:creationId xmlns:a16="http://schemas.microsoft.com/office/drawing/2014/main" id="{00000000-0008-0000-0100-000062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99" name="AutoShape 24">
          <a:extLst>
            <a:ext uri="{FF2B5EF4-FFF2-40B4-BE49-F238E27FC236}">
              <a16:creationId xmlns:a16="http://schemas.microsoft.com/office/drawing/2014/main" id="{00000000-0008-0000-0100-000063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48</xdr:row>
      <xdr:rowOff>0</xdr:rowOff>
    </xdr:from>
    <xdr:to>
      <xdr:col>4</xdr:col>
      <xdr:colOff>85725</xdr:colOff>
      <xdr:row>48</xdr:row>
      <xdr:rowOff>85725</xdr:rowOff>
    </xdr:to>
    <xdr:sp macro="" textlink="">
      <xdr:nvSpPr>
        <xdr:cNvPr id="100" name="AutoShape 26">
          <a:extLst>
            <a:ext uri="{FF2B5EF4-FFF2-40B4-BE49-F238E27FC236}">
              <a16:creationId xmlns:a16="http://schemas.microsoft.com/office/drawing/2014/main" id="{00000000-0008-0000-0100-000064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48</xdr:row>
      <xdr:rowOff>0</xdr:rowOff>
    </xdr:from>
    <xdr:to>
      <xdr:col>4</xdr:col>
      <xdr:colOff>85725</xdr:colOff>
      <xdr:row>48</xdr:row>
      <xdr:rowOff>85725</xdr:rowOff>
    </xdr:to>
    <xdr:sp macro="" textlink="">
      <xdr:nvSpPr>
        <xdr:cNvPr id="101" name="AutoShape 25">
          <a:extLst>
            <a:ext uri="{FF2B5EF4-FFF2-40B4-BE49-F238E27FC236}">
              <a16:creationId xmlns:a16="http://schemas.microsoft.com/office/drawing/2014/main" id="{00000000-0008-0000-0100-000065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48</xdr:row>
      <xdr:rowOff>0</xdr:rowOff>
    </xdr:from>
    <xdr:to>
      <xdr:col>4</xdr:col>
      <xdr:colOff>85725</xdr:colOff>
      <xdr:row>48</xdr:row>
      <xdr:rowOff>85725</xdr:rowOff>
    </xdr:to>
    <xdr:sp macro="" textlink="">
      <xdr:nvSpPr>
        <xdr:cNvPr id="102" name="AutoShape 24">
          <a:extLst>
            <a:ext uri="{FF2B5EF4-FFF2-40B4-BE49-F238E27FC236}">
              <a16:creationId xmlns:a16="http://schemas.microsoft.com/office/drawing/2014/main" id="{00000000-0008-0000-0100-000066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48</xdr:row>
      <xdr:rowOff>0</xdr:rowOff>
    </xdr:from>
    <xdr:to>
      <xdr:col>4</xdr:col>
      <xdr:colOff>85725</xdr:colOff>
      <xdr:row>48</xdr:row>
      <xdr:rowOff>85725</xdr:rowOff>
    </xdr:to>
    <xdr:sp macro="" textlink="">
      <xdr:nvSpPr>
        <xdr:cNvPr id="103" name="AutoShape 26">
          <a:extLst>
            <a:ext uri="{FF2B5EF4-FFF2-40B4-BE49-F238E27FC236}">
              <a16:creationId xmlns:a16="http://schemas.microsoft.com/office/drawing/2014/main" id="{00000000-0008-0000-0100-000067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48</xdr:row>
      <xdr:rowOff>0</xdr:rowOff>
    </xdr:from>
    <xdr:to>
      <xdr:col>4</xdr:col>
      <xdr:colOff>85725</xdr:colOff>
      <xdr:row>48</xdr:row>
      <xdr:rowOff>85725</xdr:rowOff>
    </xdr:to>
    <xdr:sp macro="" textlink="">
      <xdr:nvSpPr>
        <xdr:cNvPr id="104" name="AutoShape 25">
          <a:extLst>
            <a:ext uri="{FF2B5EF4-FFF2-40B4-BE49-F238E27FC236}">
              <a16:creationId xmlns:a16="http://schemas.microsoft.com/office/drawing/2014/main" id="{00000000-0008-0000-0100-000068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48</xdr:row>
      <xdr:rowOff>0</xdr:rowOff>
    </xdr:from>
    <xdr:to>
      <xdr:col>4</xdr:col>
      <xdr:colOff>85725</xdr:colOff>
      <xdr:row>48</xdr:row>
      <xdr:rowOff>85725</xdr:rowOff>
    </xdr:to>
    <xdr:sp macro="" textlink="">
      <xdr:nvSpPr>
        <xdr:cNvPr id="105" name="AutoShape 24">
          <a:extLst>
            <a:ext uri="{FF2B5EF4-FFF2-40B4-BE49-F238E27FC236}">
              <a16:creationId xmlns:a16="http://schemas.microsoft.com/office/drawing/2014/main" id="{00000000-0008-0000-0100-000069000000}"/>
            </a:ext>
          </a:extLst>
        </xdr:cNvPr>
        <xdr:cNvSpPr>
          <a:spLocks noChangeAspect="1" noChangeArrowheads="1"/>
        </xdr:cNvSpPr>
      </xdr:nvSpPr>
      <xdr:spPr bwMode="auto">
        <a:xfrm>
          <a:off x="4232413" y="11951804"/>
          <a:ext cx="85725" cy="85725"/>
        </a:xfrm>
        <a:prstGeom prst="rect">
          <a:avLst/>
        </a:prstGeom>
        <a:noFill/>
        <a:ln w="9525">
          <a:noFill/>
          <a:miter lim="800000"/>
          <a:headEnd/>
          <a:tailEnd/>
        </a:ln>
      </xdr:spPr>
    </xdr:sp>
    <xdr:clientData/>
  </xdr:twoCellAnchor>
  <xdr:twoCellAnchor>
    <xdr:from>
      <xdr:col>4</xdr:col>
      <xdr:colOff>0</xdr:colOff>
      <xdr:row>50</xdr:row>
      <xdr:rowOff>0</xdr:rowOff>
    </xdr:from>
    <xdr:to>
      <xdr:col>4</xdr:col>
      <xdr:colOff>85725</xdr:colOff>
      <xdr:row>50</xdr:row>
      <xdr:rowOff>85725</xdr:rowOff>
    </xdr:to>
    <xdr:sp macro="" textlink="">
      <xdr:nvSpPr>
        <xdr:cNvPr id="106" name="AutoShape 26">
          <a:extLst>
            <a:ext uri="{FF2B5EF4-FFF2-40B4-BE49-F238E27FC236}">
              <a16:creationId xmlns:a16="http://schemas.microsoft.com/office/drawing/2014/main" id="{00000000-0008-0000-0100-00006A000000}"/>
            </a:ext>
          </a:extLst>
        </xdr:cNvPr>
        <xdr:cNvSpPr>
          <a:spLocks noChangeAspect="1" noChangeArrowheads="1"/>
        </xdr:cNvSpPr>
      </xdr:nvSpPr>
      <xdr:spPr bwMode="auto">
        <a:xfrm>
          <a:off x="4232413" y="13591761"/>
          <a:ext cx="85725" cy="85725"/>
        </a:xfrm>
        <a:prstGeom prst="rect">
          <a:avLst/>
        </a:prstGeom>
        <a:noFill/>
        <a:ln w="9525">
          <a:noFill/>
          <a:miter lim="800000"/>
          <a:headEnd/>
          <a:tailEnd/>
        </a:ln>
      </xdr:spPr>
    </xdr:sp>
    <xdr:clientData/>
  </xdr:twoCellAnchor>
  <xdr:twoCellAnchor>
    <xdr:from>
      <xdr:col>4</xdr:col>
      <xdr:colOff>0</xdr:colOff>
      <xdr:row>50</xdr:row>
      <xdr:rowOff>0</xdr:rowOff>
    </xdr:from>
    <xdr:to>
      <xdr:col>4</xdr:col>
      <xdr:colOff>85725</xdr:colOff>
      <xdr:row>50</xdr:row>
      <xdr:rowOff>85725</xdr:rowOff>
    </xdr:to>
    <xdr:sp macro="" textlink="">
      <xdr:nvSpPr>
        <xdr:cNvPr id="107" name="AutoShape 25">
          <a:extLst>
            <a:ext uri="{FF2B5EF4-FFF2-40B4-BE49-F238E27FC236}">
              <a16:creationId xmlns:a16="http://schemas.microsoft.com/office/drawing/2014/main" id="{00000000-0008-0000-0100-00006B000000}"/>
            </a:ext>
          </a:extLst>
        </xdr:cNvPr>
        <xdr:cNvSpPr>
          <a:spLocks noChangeAspect="1" noChangeArrowheads="1"/>
        </xdr:cNvSpPr>
      </xdr:nvSpPr>
      <xdr:spPr bwMode="auto">
        <a:xfrm>
          <a:off x="4232413" y="13591761"/>
          <a:ext cx="85725" cy="85725"/>
        </a:xfrm>
        <a:prstGeom prst="rect">
          <a:avLst/>
        </a:prstGeom>
        <a:noFill/>
        <a:ln w="9525">
          <a:noFill/>
          <a:miter lim="800000"/>
          <a:headEnd/>
          <a:tailEnd/>
        </a:ln>
      </xdr:spPr>
    </xdr:sp>
    <xdr:clientData/>
  </xdr:twoCellAnchor>
  <xdr:twoCellAnchor>
    <xdr:from>
      <xdr:col>4</xdr:col>
      <xdr:colOff>0</xdr:colOff>
      <xdr:row>50</xdr:row>
      <xdr:rowOff>0</xdr:rowOff>
    </xdr:from>
    <xdr:to>
      <xdr:col>4</xdr:col>
      <xdr:colOff>85725</xdr:colOff>
      <xdr:row>50</xdr:row>
      <xdr:rowOff>85725</xdr:rowOff>
    </xdr:to>
    <xdr:sp macro="" textlink="">
      <xdr:nvSpPr>
        <xdr:cNvPr id="108" name="AutoShape 24">
          <a:extLst>
            <a:ext uri="{FF2B5EF4-FFF2-40B4-BE49-F238E27FC236}">
              <a16:creationId xmlns:a16="http://schemas.microsoft.com/office/drawing/2014/main" id="{00000000-0008-0000-0100-00006C000000}"/>
            </a:ext>
          </a:extLst>
        </xdr:cNvPr>
        <xdr:cNvSpPr>
          <a:spLocks noChangeAspect="1" noChangeArrowheads="1"/>
        </xdr:cNvSpPr>
      </xdr:nvSpPr>
      <xdr:spPr bwMode="auto">
        <a:xfrm>
          <a:off x="4232413" y="13591761"/>
          <a:ext cx="85725" cy="85725"/>
        </a:xfrm>
        <a:prstGeom prst="rect">
          <a:avLst/>
        </a:prstGeom>
        <a:noFill/>
        <a:ln w="9525">
          <a:noFill/>
          <a:miter lim="800000"/>
          <a:headEnd/>
          <a:tailEnd/>
        </a:ln>
      </xdr:spPr>
    </xdr:sp>
    <xdr:clientData/>
  </xdr:twoCellAnchor>
  <xdr:twoCellAnchor>
    <xdr:from>
      <xdr:col>4</xdr:col>
      <xdr:colOff>0</xdr:colOff>
      <xdr:row>50</xdr:row>
      <xdr:rowOff>0</xdr:rowOff>
    </xdr:from>
    <xdr:to>
      <xdr:col>4</xdr:col>
      <xdr:colOff>85725</xdr:colOff>
      <xdr:row>50</xdr:row>
      <xdr:rowOff>85725</xdr:rowOff>
    </xdr:to>
    <xdr:sp macro="" textlink="">
      <xdr:nvSpPr>
        <xdr:cNvPr id="109" name="AutoShape 26">
          <a:extLst>
            <a:ext uri="{FF2B5EF4-FFF2-40B4-BE49-F238E27FC236}">
              <a16:creationId xmlns:a16="http://schemas.microsoft.com/office/drawing/2014/main" id="{00000000-0008-0000-0100-00006D000000}"/>
            </a:ext>
          </a:extLst>
        </xdr:cNvPr>
        <xdr:cNvSpPr>
          <a:spLocks noChangeAspect="1" noChangeArrowheads="1"/>
        </xdr:cNvSpPr>
      </xdr:nvSpPr>
      <xdr:spPr bwMode="auto">
        <a:xfrm>
          <a:off x="4232413" y="13591761"/>
          <a:ext cx="85725" cy="85725"/>
        </a:xfrm>
        <a:prstGeom prst="rect">
          <a:avLst/>
        </a:prstGeom>
        <a:noFill/>
        <a:ln w="9525">
          <a:noFill/>
          <a:miter lim="800000"/>
          <a:headEnd/>
          <a:tailEnd/>
        </a:ln>
      </xdr:spPr>
    </xdr:sp>
    <xdr:clientData/>
  </xdr:twoCellAnchor>
  <xdr:twoCellAnchor>
    <xdr:from>
      <xdr:col>4</xdr:col>
      <xdr:colOff>0</xdr:colOff>
      <xdr:row>50</xdr:row>
      <xdr:rowOff>0</xdr:rowOff>
    </xdr:from>
    <xdr:to>
      <xdr:col>4</xdr:col>
      <xdr:colOff>85725</xdr:colOff>
      <xdr:row>50</xdr:row>
      <xdr:rowOff>85725</xdr:rowOff>
    </xdr:to>
    <xdr:sp macro="" textlink="">
      <xdr:nvSpPr>
        <xdr:cNvPr id="110" name="AutoShape 25">
          <a:extLst>
            <a:ext uri="{FF2B5EF4-FFF2-40B4-BE49-F238E27FC236}">
              <a16:creationId xmlns:a16="http://schemas.microsoft.com/office/drawing/2014/main" id="{00000000-0008-0000-0100-00006E000000}"/>
            </a:ext>
          </a:extLst>
        </xdr:cNvPr>
        <xdr:cNvSpPr>
          <a:spLocks noChangeAspect="1" noChangeArrowheads="1"/>
        </xdr:cNvSpPr>
      </xdr:nvSpPr>
      <xdr:spPr bwMode="auto">
        <a:xfrm>
          <a:off x="4232413" y="13591761"/>
          <a:ext cx="85725" cy="85725"/>
        </a:xfrm>
        <a:prstGeom prst="rect">
          <a:avLst/>
        </a:prstGeom>
        <a:noFill/>
        <a:ln w="9525">
          <a:noFill/>
          <a:miter lim="800000"/>
          <a:headEnd/>
          <a:tailEnd/>
        </a:ln>
      </xdr:spPr>
    </xdr:sp>
    <xdr:clientData/>
  </xdr:twoCellAnchor>
  <xdr:twoCellAnchor>
    <xdr:from>
      <xdr:col>4</xdr:col>
      <xdr:colOff>0</xdr:colOff>
      <xdr:row>50</xdr:row>
      <xdr:rowOff>0</xdr:rowOff>
    </xdr:from>
    <xdr:to>
      <xdr:col>4</xdr:col>
      <xdr:colOff>85725</xdr:colOff>
      <xdr:row>50</xdr:row>
      <xdr:rowOff>85725</xdr:rowOff>
    </xdr:to>
    <xdr:sp macro="" textlink="">
      <xdr:nvSpPr>
        <xdr:cNvPr id="111" name="AutoShape 24">
          <a:extLst>
            <a:ext uri="{FF2B5EF4-FFF2-40B4-BE49-F238E27FC236}">
              <a16:creationId xmlns:a16="http://schemas.microsoft.com/office/drawing/2014/main" id="{00000000-0008-0000-0100-00006F000000}"/>
            </a:ext>
          </a:extLst>
        </xdr:cNvPr>
        <xdr:cNvSpPr>
          <a:spLocks noChangeAspect="1" noChangeArrowheads="1"/>
        </xdr:cNvSpPr>
      </xdr:nvSpPr>
      <xdr:spPr bwMode="auto">
        <a:xfrm>
          <a:off x="4232413" y="13591761"/>
          <a:ext cx="85725" cy="85725"/>
        </a:xfrm>
        <a:prstGeom prst="rect">
          <a:avLst/>
        </a:prstGeom>
        <a:noFill/>
        <a:ln w="9525">
          <a:noFill/>
          <a:miter lim="800000"/>
          <a:headEnd/>
          <a:tailEnd/>
        </a:ln>
      </xdr:spPr>
    </xdr:sp>
    <xdr:clientData/>
  </xdr:twoCellAnchor>
  <xdr:twoCellAnchor>
    <xdr:from>
      <xdr:col>4</xdr:col>
      <xdr:colOff>0</xdr:colOff>
      <xdr:row>54</xdr:row>
      <xdr:rowOff>0</xdr:rowOff>
    </xdr:from>
    <xdr:to>
      <xdr:col>4</xdr:col>
      <xdr:colOff>85725</xdr:colOff>
      <xdr:row>54</xdr:row>
      <xdr:rowOff>85725</xdr:rowOff>
    </xdr:to>
    <xdr:sp macro="" textlink="">
      <xdr:nvSpPr>
        <xdr:cNvPr id="112" name="AutoShape 26">
          <a:extLst>
            <a:ext uri="{FF2B5EF4-FFF2-40B4-BE49-F238E27FC236}">
              <a16:creationId xmlns:a16="http://schemas.microsoft.com/office/drawing/2014/main" id="{00000000-0008-0000-0100-000070000000}"/>
            </a:ext>
          </a:extLst>
        </xdr:cNvPr>
        <xdr:cNvSpPr>
          <a:spLocks noChangeAspect="1" noChangeArrowheads="1"/>
        </xdr:cNvSpPr>
      </xdr:nvSpPr>
      <xdr:spPr bwMode="auto">
        <a:xfrm>
          <a:off x="4232413" y="14651935"/>
          <a:ext cx="85725" cy="85725"/>
        </a:xfrm>
        <a:prstGeom prst="rect">
          <a:avLst/>
        </a:prstGeom>
        <a:noFill/>
        <a:ln w="9525">
          <a:noFill/>
          <a:miter lim="800000"/>
          <a:headEnd/>
          <a:tailEnd/>
        </a:ln>
      </xdr:spPr>
    </xdr:sp>
    <xdr:clientData/>
  </xdr:twoCellAnchor>
  <xdr:twoCellAnchor>
    <xdr:from>
      <xdr:col>4</xdr:col>
      <xdr:colOff>0</xdr:colOff>
      <xdr:row>54</xdr:row>
      <xdr:rowOff>0</xdr:rowOff>
    </xdr:from>
    <xdr:to>
      <xdr:col>4</xdr:col>
      <xdr:colOff>85725</xdr:colOff>
      <xdr:row>54</xdr:row>
      <xdr:rowOff>85725</xdr:rowOff>
    </xdr:to>
    <xdr:sp macro="" textlink="">
      <xdr:nvSpPr>
        <xdr:cNvPr id="113" name="AutoShape 25">
          <a:extLst>
            <a:ext uri="{FF2B5EF4-FFF2-40B4-BE49-F238E27FC236}">
              <a16:creationId xmlns:a16="http://schemas.microsoft.com/office/drawing/2014/main" id="{00000000-0008-0000-0100-000071000000}"/>
            </a:ext>
          </a:extLst>
        </xdr:cNvPr>
        <xdr:cNvSpPr>
          <a:spLocks noChangeAspect="1" noChangeArrowheads="1"/>
        </xdr:cNvSpPr>
      </xdr:nvSpPr>
      <xdr:spPr bwMode="auto">
        <a:xfrm>
          <a:off x="4232413" y="14651935"/>
          <a:ext cx="85725" cy="85725"/>
        </a:xfrm>
        <a:prstGeom prst="rect">
          <a:avLst/>
        </a:prstGeom>
        <a:noFill/>
        <a:ln w="9525">
          <a:noFill/>
          <a:miter lim="800000"/>
          <a:headEnd/>
          <a:tailEnd/>
        </a:ln>
      </xdr:spPr>
    </xdr:sp>
    <xdr:clientData/>
  </xdr:twoCellAnchor>
  <xdr:twoCellAnchor>
    <xdr:from>
      <xdr:col>4</xdr:col>
      <xdr:colOff>0</xdr:colOff>
      <xdr:row>54</xdr:row>
      <xdr:rowOff>0</xdr:rowOff>
    </xdr:from>
    <xdr:to>
      <xdr:col>4</xdr:col>
      <xdr:colOff>85725</xdr:colOff>
      <xdr:row>54</xdr:row>
      <xdr:rowOff>85725</xdr:rowOff>
    </xdr:to>
    <xdr:sp macro="" textlink="">
      <xdr:nvSpPr>
        <xdr:cNvPr id="114" name="AutoShape 24">
          <a:extLst>
            <a:ext uri="{FF2B5EF4-FFF2-40B4-BE49-F238E27FC236}">
              <a16:creationId xmlns:a16="http://schemas.microsoft.com/office/drawing/2014/main" id="{00000000-0008-0000-0100-000072000000}"/>
            </a:ext>
          </a:extLst>
        </xdr:cNvPr>
        <xdr:cNvSpPr>
          <a:spLocks noChangeAspect="1" noChangeArrowheads="1"/>
        </xdr:cNvSpPr>
      </xdr:nvSpPr>
      <xdr:spPr bwMode="auto">
        <a:xfrm>
          <a:off x="4232413" y="14651935"/>
          <a:ext cx="85725" cy="85725"/>
        </a:xfrm>
        <a:prstGeom prst="rect">
          <a:avLst/>
        </a:prstGeom>
        <a:noFill/>
        <a:ln w="9525">
          <a:noFill/>
          <a:miter lim="800000"/>
          <a:headEnd/>
          <a:tailEnd/>
        </a:ln>
      </xdr:spPr>
    </xdr:sp>
    <xdr:clientData/>
  </xdr:twoCellAnchor>
  <xdr:twoCellAnchor>
    <xdr:from>
      <xdr:col>4</xdr:col>
      <xdr:colOff>0</xdr:colOff>
      <xdr:row>54</xdr:row>
      <xdr:rowOff>0</xdr:rowOff>
    </xdr:from>
    <xdr:to>
      <xdr:col>4</xdr:col>
      <xdr:colOff>85725</xdr:colOff>
      <xdr:row>54</xdr:row>
      <xdr:rowOff>85725</xdr:rowOff>
    </xdr:to>
    <xdr:sp macro="" textlink="">
      <xdr:nvSpPr>
        <xdr:cNvPr id="115" name="AutoShape 26">
          <a:extLst>
            <a:ext uri="{FF2B5EF4-FFF2-40B4-BE49-F238E27FC236}">
              <a16:creationId xmlns:a16="http://schemas.microsoft.com/office/drawing/2014/main" id="{00000000-0008-0000-0100-000073000000}"/>
            </a:ext>
          </a:extLst>
        </xdr:cNvPr>
        <xdr:cNvSpPr>
          <a:spLocks noChangeAspect="1" noChangeArrowheads="1"/>
        </xdr:cNvSpPr>
      </xdr:nvSpPr>
      <xdr:spPr bwMode="auto">
        <a:xfrm>
          <a:off x="4232413" y="14651935"/>
          <a:ext cx="85725" cy="85725"/>
        </a:xfrm>
        <a:prstGeom prst="rect">
          <a:avLst/>
        </a:prstGeom>
        <a:noFill/>
        <a:ln w="9525">
          <a:noFill/>
          <a:miter lim="800000"/>
          <a:headEnd/>
          <a:tailEnd/>
        </a:ln>
      </xdr:spPr>
    </xdr:sp>
    <xdr:clientData/>
  </xdr:twoCellAnchor>
  <xdr:twoCellAnchor>
    <xdr:from>
      <xdr:col>4</xdr:col>
      <xdr:colOff>0</xdr:colOff>
      <xdr:row>54</xdr:row>
      <xdr:rowOff>0</xdr:rowOff>
    </xdr:from>
    <xdr:to>
      <xdr:col>4</xdr:col>
      <xdr:colOff>85725</xdr:colOff>
      <xdr:row>54</xdr:row>
      <xdr:rowOff>85725</xdr:rowOff>
    </xdr:to>
    <xdr:sp macro="" textlink="">
      <xdr:nvSpPr>
        <xdr:cNvPr id="116" name="AutoShape 25">
          <a:extLst>
            <a:ext uri="{FF2B5EF4-FFF2-40B4-BE49-F238E27FC236}">
              <a16:creationId xmlns:a16="http://schemas.microsoft.com/office/drawing/2014/main" id="{00000000-0008-0000-0100-000074000000}"/>
            </a:ext>
          </a:extLst>
        </xdr:cNvPr>
        <xdr:cNvSpPr>
          <a:spLocks noChangeAspect="1" noChangeArrowheads="1"/>
        </xdr:cNvSpPr>
      </xdr:nvSpPr>
      <xdr:spPr bwMode="auto">
        <a:xfrm>
          <a:off x="4232413" y="14651935"/>
          <a:ext cx="85725" cy="85725"/>
        </a:xfrm>
        <a:prstGeom prst="rect">
          <a:avLst/>
        </a:prstGeom>
        <a:noFill/>
        <a:ln w="9525">
          <a:noFill/>
          <a:miter lim="800000"/>
          <a:headEnd/>
          <a:tailEnd/>
        </a:ln>
      </xdr:spPr>
    </xdr:sp>
    <xdr:clientData/>
  </xdr:twoCellAnchor>
  <xdr:twoCellAnchor>
    <xdr:from>
      <xdr:col>4</xdr:col>
      <xdr:colOff>0</xdr:colOff>
      <xdr:row>54</xdr:row>
      <xdr:rowOff>0</xdr:rowOff>
    </xdr:from>
    <xdr:to>
      <xdr:col>4</xdr:col>
      <xdr:colOff>85725</xdr:colOff>
      <xdr:row>54</xdr:row>
      <xdr:rowOff>85725</xdr:rowOff>
    </xdr:to>
    <xdr:sp macro="" textlink="">
      <xdr:nvSpPr>
        <xdr:cNvPr id="117" name="AutoShape 24">
          <a:extLst>
            <a:ext uri="{FF2B5EF4-FFF2-40B4-BE49-F238E27FC236}">
              <a16:creationId xmlns:a16="http://schemas.microsoft.com/office/drawing/2014/main" id="{00000000-0008-0000-0100-000075000000}"/>
            </a:ext>
          </a:extLst>
        </xdr:cNvPr>
        <xdr:cNvSpPr>
          <a:spLocks noChangeAspect="1" noChangeArrowheads="1"/>
        </xdr:cNvSpPr>
      </xdr:nvSpPr>
      <xdr:spPr bwMode="auto">
        <a:xfrm>
          <a:off x="4232413" y="14651935"/>
          <a:ext cx="85725" cy="85725"/>
        </a:xfrm>
        <a:prstGeom prst="rect">
          <a:avLst/>
        </a:prstGeom>
        <a:noFill/>
        <a:ln w="9525">
          <a:noFill/>
          <a:miter lim="800000"/>
          <a:headEnd/>
          <a:tailEnd/>
        </a:ln>
      </xdr:spPr>
    </xdr:sp>
    <xdr:clientData/>
  </xdr:twoCellAnchor>
  <xdr:twoCellAnchor>
    <xdr:from>
      <xdr:col>4</xdr:col>
      <xdr:colOff>0</xdr:colOff>
      <xdr:row>62</xdr:row>
      <xdr:rowOff>0</xdr:rowOff>
    </xdr:from>
    <xdr:to>
      <xdr:col>4</xdr:col>
      <xdr:colOff>85725</xdr:colOff>
      <xdr:row>62</xdr:row>
      <xdr:rowOff>85725</xdr:rowOff>
    </xdr:to>
    <xdr:sp macro="" textlink="">
      <xdr:nvSpPr>
        <xdr:cNvPr id="51" name="AutoShape 28">
          <a:extLst>
            <a:ext uri="{FF2B5EF4-FFF2-40B4-BE49-F238E27FC236}">
              <a16:creationId xmlns:a16="http://schemas.microsoft.com/office/drawing/2014/main" id="{00000000-0008-0000-0100-000033000000}"/>
            </a:ext>
          </a:extLst>
        </xdr:cNvPr>
        <xdr:cNvSpPr>
          <a:spLocks noChangeAspect="1" noChangeArrowheads="1"/>
        </xdr:cNvSpPr>
      </xdr:nvSpPr>
      <xdr:spPr bwMode="auto">
        <a:xfrm>
          <a:off x="4229100" y="7029450"/>
          <a:ext cx="85725" cy="85725"/>
        </a:xfrm>
        <a:prstGeom prst="rect">
          <a:avLst/>
        </a:prstGeom>
        <a:noFill/>
        <a:ln w="9525">
          <a:noFill/>
          <a:miter lim="800000"/>
          <a:headEnd/>
          <a:tailEnd/>
        </a:ln>
      </xdr:spPr>
    </xdr:sp>
    <xdr:clientData/>
  </xdr:twoCellAnchor>
  <xdr:twoCellAnchor>
    <xdr:from>
      <xdr:col>5</xdr:col>
      <xdr:colOff>0</xdr:colOff>
      <xdr:row>62</xdr:row>
      <xdr:rowOff>0</xdr:rowOff>
    </xdr:from>
    <xdr:to>
      <xdr:col>5</xdr:col>
      <xdr:colOff>85725</xdr:colOff>
      <xdr:row>62</xdr:row>
      <xdr:rowOff>85725</xdr:rowOff>
    </xdr:to>
    <xdr:sp macro="" textlink="">
      <xdr:nvSpPr>
        <xdr:cNvPr id="52" name="AutoShape 27">
          <a:extLst>
            <a:ext uri="{FF2B5EF4-FFF2-40B4-BE49-F238E27FC236}">
              <a16:creationId xmlns:a16="http://schemas.microsoft.com/office/drawing/2014/main" id="{00000000-0008-0000-0100-000034000000}"/>
            </a:ext>
          </a:extLst>
        </xdr:cNvPr>
        <xdr:cNvSpPr>
          <a:spLocks noChangeAspect="1" noChangeArrowheads="1"/>
        </xdr:cNvSpPr>
      </xdr:nvSpPr>
      <xdr:spPr bwMode="auto">
        <a:xfrm>
          <a:off x="5610225" y="7029450"/>
          <a:ext cx="85725" cy="85725"/>
        </a:xfrm>
        <a:prstGeom prst="rect">
          <a:avLst/>
        </a:prstGeom>
        <a:noFill/>
        <a:ln w="9525">
          <a:noFill/>
          <a:miter lim="800000"/>
          <a:headEnd/>
          <a:tailEnd/>
        </a:ln>
      </xdr:spPr>
    </xdr:sp>
    <xdr:clientData/>
  </xdr:twoCellAnchor>
  <xdr:twoCellAnchor>
    <xdr:from>
      <xdr:col>5</xdr:col>
      <xdr:colOff>0</xdr:colOff>
      <xdr:row>62</xdr:row>
      <xdr:rowOff>0</xdr:rowOff>
    </xdr:from>
    <xdr:to>
      <xdr:col>5</xdr:col>
      <xdr:colOff>85725</xdr:colOff>
      <xdr:row>62</xdr:row>
      <xdr:rowOff>85725</xdr:rowOff>
    </xdr:to>
    <xdr:sp macro="" textlink="">
      <xdr:nvSpPr>
        <xdr:cNvPr id="53" name="AutoShape 28">
          <a:extLst>
            <a:ext uri="{FF2B5EF4-FFF2-40B4-BE49-F238E27FC236}">
              <a16:creationId xmlns:a16="http://schemas.microsoft.com/office/drawing/2014/main" id="{00000000-0008-0000-0100-000035000000}"/>
            </a:ext>
          </a:extLst>
        </xdr:cNvPr>
        <xdr:cNvSpPr>
          <a:spLocks noChangeAspect="1" noChangeArrowheads="1"/>
        </xdr:cNvSpPr>
      </xdr:nvSpPr>
      <xdr:spPr bwMode="auto">
        <a:xfrm>
          <a:off x="5610225" y="7029450"/>
          <a:ext cx="85725" cy="85725"/>
        </a:xfrm>
        <a:prstGeom prst="rect">
          <a:avLst/>
        </a:prstGeom>
        <a:noFill/>
        <a:ln w="9525">
          <a:noFill/>
          <a:miter lim="800000"/>
          <a:headEnd/>
          <a:tailEnd/>
        </a:ln>
      </xdr:spPr>
    </xdr:sp>
    <xdr:clientData/>
  </xdr:twoCellAnchor>
  <xdr:twoCellAnchor>
    <xdr:from>
      <xdr:col>4</xdr:col>
      <xdr:colOff>0</xdr:colOff>
      <xdr:row>39</xdr:row>
      <xdr:rowOff>0</xdr:rowOff>
    </xdr:from>
    <xdr:to>
      <xdr:col>4</xdr:col>
      <xdr:colOff>85725</xdr:colOff>
      <xdr:row>39</xdr:row>
      <xdr:rowOff>85725</xdr:rowOff>
    </xdr:to>
    <xdr:sp macro="" textlink="">
      <xdr:nvSpPr>
        <xdr:cNvPr id="54" name="AutoShape 26">
          <a:extLst>
            <a:ext uri="{FF2B5EF4-FFF2-40B4-BE49-F238E27FC236}">
              <a16:creationId xmlns:a16="http://schemas.microsoft.com/office/drawing/2014/main" id="{00000000-0008-0000-0100-000036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39</xdr:row>
      <xdr:rowOff>0</xdr:rowOff>
    </xdr:from>
    <xdr:to>
      <xdr:col>4</xdr:col>
      <xdr:colOff>85725</xdr:colOff>
      <xdr:row>39</xdr:row>
      <xdr:rowOff>85725</xdr:rowOff>
    </xdr:to>
    <xdr:sp macro="" textlink="">
      <xdr:nvSpPr>
        <xdr:cNvPr id="55" name="AutoShape 25">
          <a:extLst>
            <a:ext uri="{FF2B5EF4-FFF2-40B4-BE49-F238E27FC236}">
              <a16:creationId xmlns:a16="http://schemas.microsoft.com/office/drawing/2014/main" id="{00000000-0008-0000-0100-000037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39</xdr:row>
      <xdr:rowOff>0</xdr:rowOff>
    </xdr:from>
    <xdr:to>
      <xdr:col>4</xdr:col>
      <xdr:colOff>85725</xdr:colOff>
      <xdr:row>39</xdr:row>
      <xdr:rowOff>85725</xdr:rowOff>
    </xdr:to>
    <xdr:sp macro="" textlink="">
      <xdr:nvSpPr>
        <xdr:cNvPr id="56" name="AutoShape 24">
          <a:extLst>
            <a:ext uri="{FF2B5EF4-FFF2-40B4-BE49-F238E27FC236}">
              <a16:creationId xmlns:a16="http://schemas.microsoft.com/office/drawing/2014/main" id="{00000000-0008-0000-0100-000038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39</xdr:row>
      <xdr:rowOff>0</xdr:rowOff>
    </xdr:from>
    <xdr:to>
      <xdr:col>4</xdr:col>
      <xdr:colOff>85725</xdr:colOff>
      <xdr:row>39</xdr:row>
      <xdr:rowOff>85725</xdr:rowOff>
    </xdr:to>
    <xdr:sp macro="" textlink="">
      <xdr:nvSpPr>
        <xdr:cNvPr id="57" name="AutoShape 26">
          <a:extLst>
            <a:ext uri="{FF2B5EF4-FFF2-40B4-BE49-F238E27FC236}">
              <a16:creationId xmlns:a16="http://schemas.microsoft.com/office/drawing/2014/main" id="{00000000-0008-0000-0100-000039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39</xdr:row>
      <xdr:rowOff>0</xdr:rowOff>
    </xdr:from>
    <xdr:to>
      <xdr:col>4</xdr:col>
      <xdr:colOff>85725</xdr:colOff>
      <xdr:row>39</xdr:row>
      <xdr:rowOff>85725</xdr:rowOff>
    </xdr:to>
    <xdr:sp macro="" textlink="">
      <xdr:nvSpPr>
        <xdr:cNvPr id="58" name="AutoShape 25">
          <a:extLst>
            <a:ext uri="{FF2B5EF4-FFF2-40B4-BE49-F238E27FC236}">
              <a16:creationId xmlns:a16="http://schemas.microsoft.com/office/drawing/2014/main" id="{00000000-0008-0000-0100-00003A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39</xdr:row>
      <xdr:rowOff>0</xdr:rowOff>
    </xdr:from>
    <xdr:to>
      <xdr:col>4</xdr:col>
      <xdr:colOff>85725</xdr:colOff>
      <xdr:row>39</xdr:row>
      <xdr:rowOff>85725</xdr:rowOff>
    </xdr:to>
    <xdr:sp macro="" textlink="">
      <xdr:nvSpPr>
        <xdr:cNvPr id="59" name="AutoShape 24">
          <a:extLst>
            <a:ext uri="{FF2B5EF4-FFF2-40B4-BE49-F238E27FC236}">
              <a16:creationId xmlns:a16="http://schemas.microsoft.com/office/drawing/2014/main" id="{00000000-0008-0000-0100-00003B000000}"/>
            </a:ext>
          </a:extLst>
        </xdr:cNvPr>
        <xdr:cNvSpPr>
          <a:spLocks noChangeAspect="1" noChangeArrowheads="1"/>
        </xdr:cNvSpPr>
      </xdr:nvSpPr>
      <xdr:spPr bwMode="auto">
        <a:xfrm>
          <a:off x="4232413" y="9624391"/>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60" name="AutoShape 26">
          <a:extLst>
            <a:ext uri="{FF2B5EF4-FFF2-40B4-BE49-F238E27FC236}">
              <a16:creationId xmlns:a16="http://schemas.microsoft.com/office/drawing/2014/main" id="{00000000-0008-0000-0100-00003C000000}"/>
            </a:ext>
          </a:extLst>
        </xdr:cNvPr>
        <xdr:cNvSpPr>
          <a:spLocks noChangeAspect="1" noChangeArrowheads="1"/>
        </xdr:cNvSpPr>
      </xdr:nvSpPr>
      <xdr:spPr bwMode="auto">
        <a:xfrm>
          <a:off x="4229100" y="12630150"/>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64" name="AutoShape 25">
          <a:extLst>
            <a:ext uri="{FF2B5EF4-FFF2-40B4-BE49-F238E27FC236}">
              <a16:creationId xmlns:a16="http://schemas.microsoft.com/office/drawing/2014/main" id="{00000000-0008-0000-0100-000040000000}"/>
            </a:ext>
          </a:extLst>
        </xdr:cNvPr>
        <xdr:cNvSpPr>
          <a:spLocks noChangeAspect="1" noChangeArrowheads="1"/>
        </xdr:cNvSpPr>
      </xdr:nvSpPr>
      <xdr:spPr bwMode="auto">
        <a:xfrm>
          <a:off x="4229100" y="12630150"/>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65" name="AutoShape 24">
          <a:extLst>
            <a:ext uri="{FF2B5EF4-FFF2-40B4-BE49-F238E27FC236}">
              <a16:creationId xmlns:a16="http://schemas.microsoft.com/office/drawing/2014/main" id="{00000000-0008-0000-0100-000041000000}"/>
            </a:ext>
          </a:extLst>
        </xdr:cNvPr>
        <xdr:cNvSpPr>
          <a:spLocks noChangeAspect="1" noChangeArrowheads="1"/>
        </xdr:cNvSpPr>
      </xdr:nvSpPr>
      <xdr:spPr bwMode="auto">
        <a:xfrm>
          <a:off x="4229100" y="12630150"/>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66" name="AutoShape 26">
          <a:extLst>
            <a:ext uri="{FF2B5EF4-FFF2-40B4-BE49-F238E27FC236}">
              <a16:creationId xmlns:a16="http://schemas.microsoft.com/office/drawing/2014/main" id="{00000000-0008-0000-0100-000042000000}"/>
            </a:ext>
          </a:extLst>
        </xdr:cNvPr>
        <xdr:cNvSpPr>
          <a:spLocks noChangeAspect="1" noChangeArrowheads="1"/>
        </xdr:cNvSpPr>
      </xdr:nvSpPr>
      <xdr:spPr bwMode="auto">
        <a:xfrm>
          <a:off x="4229100" y="12630150"/>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67" name="AutoShape 25">
          <a:extLst>
            <a:ext uri="{FF2B5EF4-FFF2-40B4-BE49-F238E27FC236}">
              <a16:creationId xmlns:a16="http://schemas.microsoft.com/office/drawing/2014/main" id="{00000000-0008-0000-0100-000043000000}"/>
            </a:ext>
          </a:extLst>
        </xdr:cNvPr>
        <xdr:cNvSpPr>
          <a:spLocks noChangeAspect="1" noChangeArrowheads="1"/>
        </xdr:cNvSpPr>
      </xdr:nvSpPr>
      <xdr:spPr bwMode="auto">
        <a:xfrm>
          <a:off x="4229100" y="12630150"/>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68" name="AutoShape 24">
          <a:extLst>
            <a:ext uri="{FF2B5EF4-FFF2-40B4-BE49-F238E27FC236}">
              <a16:creationId xmlns:a16="http://schemas.microsoft.com/office/drawing/2014/main" id="{00000000-0008-0000-0100-000044000000}"/>
            </a:ext>
          </a:extLst>
        </xdr:cNvPr>
        <xdr:cNvSpPr>
          <a:spLocks noChangeAspect="1" noChangeArrowheads="1"/>
        </xdr:cNvSpPr>
      </xdr:nvSpPr>
      <xdr:spPr bwMode="auto">
        <a:xfrm>
          <a:off x="4229100" y="12630150"/>
          <a:ext cx="85725" cy="85725"/>
        </a:xfrm>
        <a:prstGeom prst="rect">
          <a:avLst/>
        </a:prstGeom>
        <a:noFill/>
        <a:ln w="9525">
          <a:noFill/>
          <a:miter lim="800000"/>
          <a:headEnd/>
          <a:tailEnd/>
        </a:ln>
      </xdr:spPr>
    </xdr:sp>
    <xdr:clientData/>
  </xdr:twoCellAnchor>
  <xdr:twoCellAnchor>
    <xdr:from>
      <xdr:col>4</xdr:col>
      <xdr:colOff>0</xdr:colOff>
      <xdr:row>29</xdr:row>
      <xdr:rowOff>0</xdr:rowOff>
    </xdr:from>
    <xdr:to>
      <xdr:col>4</xdr:col>
      <xdr:colOff>85725</xdr:colOff>
      <xdr:row>29</xdr:row>
      <xdr:rowOff>85725</xdr:rowOff>
    </xdr:to>
    <xdr:sp macro="" textlink="">
      <xdr:nvSpPr>
        <xdr:cNvPr id="69" name="AutoShape 1">
          <a:extLst>
            <a:ext uri="{FF2B5EF4-FFF2-40B4-BE49-F238E27FC236}">
              <a16:creationId xmlns:a16="http://schemas.microsoft.com/office/drawing/2014/main" id="{00000000-0008-0000-0100-000045000000}"/>
            </a:ext>
          </a:extLst>
        </xdr:cNvPr>
        <xdr:cNvSpPr>
          <a:spLocks noChangeAspect="1" noChangeArrowheads="1"/>
        </xdr:cNvSpPr>
      </xdr:nvSpPr>
      <xdr:spPr bwMode="auto">
        <a:xfrm>
          <a:off x="4229100" y="6581775"/>
          <a:ext cx="85725" cy="85725"/>
        </a:xfrm>
        <a:prstGeom prst="rect">
          <a:avLst/>
        </a:prstGeom>
        <a:noFill/>
        <a:ln w="9525">
          <a:noFill/>
          <a:miter lim="800000"/>
          <a:headEnd/>
          <a:tailEnd/>
        </a:ln>
      </xdr:spPr>
    </xdr:sp>
    <xdr:clientData/>
  </xdr:twoCellAnchor>
  <xdr:twoCellAnchor>
    <xdr:from>
      <xdr:col>4</xdr:col>
      <xdr:colOff>0</xdr:colOff>
      <xdr:row>29</xdr:row>
      <xdr:rowOff>0</xdr:rowOff>
    </xdr:from>
    <xdr:to>
      <xdr:col>4</xdr:col>
      <xdr:colOff>85725</xdr:colOff>
      <xdr:row>29</xdr:row>
      <xdr:rowOff>85725</xdr:rowOff>
    </xdr:to>
    <xdr:sp macro="" textlink="">
      <xdr:nvSpPr>
        <xdr:cNvPr id="70" name="AutoShape 1">
          <a:extLst>
            <a:ext uri="{FF2B5EF4-FFF2-40B4-BE49-F238E27FC236}">
              <a16:creationId xmlns:a16="http://schemas.microsoft.com/office/drawing/2014/main" id="{00000000-0008-0000-0100-000046000000}"/>
            </a:ext>
          </a:extLst>
        </xdr:cNvPr>
        <xdr:cNvSpPr>
          <a:spLocks noChangeAspect="1" noChangeArrowheads="1"/>
        </xdr:cNvSpPr>
      </xdr:nvSpPr>
      <xdr:spPr bwMode="auto">
        <a:xfrm>
          <a:off x="4229100" y="6915150"/>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71" name="AutoShape 26">
          <a:extLst>
            <a:ext uri="{FF2B5EF4-FFF2-40B4-BE49-F238E27FC236}">
              <a16:creationId xmlns:a16="http://schemas.microsoft.com/office/drawing/2014/main" id="{00000000-0008-0000-0100-000047000000}"/>
            </a:ext>
          </a:extLst>
        </xdr:cNvPr>
        <xdr:cNvSpPr>
          <a:spLocks noChangeAspect="1" noChangeArrowheads="1"/>
        </xdr:cNvSpPr>
      </xdr:nvSpPr>
      <xdr:spPr bwMode="auto">
        <a:xfrm>
          <a:off x="4229100" y="13344525"/>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72" name="AutoShape 25">
          <a:extLst>
            <a:ext uri="{FF2B5EF4-FFF2-40B4-BE49-F238E27FC236}">
              <a16:creationId xmlns:a16="http://schemas.microsoft.com/office/drawing/2014/main" id="{00000000-0008-0000-0100-000048000000}"/>
            </a:ext>
          </a:extLst>
        </xdr:cNvPr>
        <xdr:cNvSpPr>
          <a:spLocks noChangeAspect="1" noChangeArrowheads="1"/>
        </xdr:cNvSpPr>
      </xdr:nvSpPr>
      <xdr:spPr bwMode="auto">
        <a:xfrm>
          <a:off x="4229100" y="13344525"/>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73" name="AutoShape 24">
          <a:extLst>
            <a:ext uri="{FF2B5EF4-FFF2-40B4-BE49-F238E27FC236}">
              <a16:creationId xmlns:a16="http://schemas.microsoft.com/office/drawing/2014/main" id="{00000000-0008-0000-0100-000049000000}"/>
            </a:ext>
          </a:extLst>
        </xdr:cNvPr>
        <xdr:cNvSpPr>
          <a:spLocks noChangeAspect="1" noChangeArrowheads="1"/>
        </xdr:cNvSpPr>
      </xdr:nvSpPr>
      <xdr:spPr bwMode="auto">
        <a:xfrm>
          <a:off x="4229100" y="13344525"/>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74" name="AutoShape 26">
          <a:extLst>
            <a:ext uri="{FF2B5EF4-FFF2-40B4-BE49-F238E27FC236}">
              <a16:creationId xmlns:a16="http://schemas.microsoft.com/office/drawing/2014/main" id="{00000000-0008-0000-0100-00004A000000}"/>
            </a:ext>
          </a:extLst>
        </xdr:cNvPr>
        <xdr:cNvSpPr>
          <a:spLocks noChangeAspect="1" noChangeArrowheads="1"/>
        </xdr:cNvSpPr>
      </xdr:nvSpPr>
      <xdr:spPr bwMode="auto">
        <a:xfrm>
          <a:off x="4229100" y="13344525"/>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75" name="AutoShape 25">
          <a:extLst>
            <a:ext uri="{FF2B5EF4-FFF2-40B4-BE49-F238E27FC236}">
              <a16:creationId xmlns:a16="http://schemas.microsoft.com/office/drawing/2014/main" id="{00000000-0008-0000-0100-00004B000000}"/>
            </a:ext>
          </a:extLst>
        </xdr:cNvPr>
        <xdr:cNvSpPr>
          <a:spLocks noChangeAspect="1" noChangeArrowheads="1"/>
        </xdr:cNvSpPr>
      </xdr:nvSpPr>
      <xdr:spPr bwMode="auto">
        <a:xfrm>
          <a:off x="4229100" y="13344525"/>
          <a:ext cx="85725" cy="85725"/>
        </a:xfrm>
        <a:prstGeom prst="rect">
          <a:avLst/>
        </a:prstGeom>
        <a:noFill/>
        <a:ln w="9525">
          <a:noFill/>
          <a:miter lim="800000"/>
          <a:headEnd/>
          <a:tailEnd/>
        </a:ln>
      </xdr:spPr>
    </xdr:sp>
    <xdr:clientData/>
  </xdr:twoCellAnchor>
  <xdr:twoCellAnchor>
    <xdr:from>
      <xdr:col>4</xdr:col>
      <xdr:colOff>0</xdr:colOff>
      <xdr:row>44</xdr:row>
      <xdr:rowOff>0</xdr:rowOff>
    </xdr:from>
    <xdr:to>
      <xdr:col>4</xdr:col>
      <xdr:colOff>85725</xdr:colOff>
      <xdr:row>44</xdr:row>
      <xdr:rowOff>85725</xdr:rowOff>
    </xdr:to>
    <xdr:sp macro="" textlink="">
      <xdr:nvSpPr>
        <xdr:cNvPr id="76" name="AutoShape 24">
          <a:extLst>
            <a:ext uri="{FF2B5EF4-FFF2-40B4-BE49-F238E27FC236}">
              <a16:creationId xmlns:a16="http://schemas.microsoft.com/office/drawing/2014/main" id="{00000000-0008-0000-0100-00004C000000}"/>
            </a:ext>
          </a:extLst>
        </xdr:cNvPr>
        <xdr:cNvSpPr>
          <a:spLocks noChangeAspect="1" noChangeArrowheads="1"/>
        </xdr:cNvSpPr>
      </xdr:nvSpPr>
      <xdr:spPr bwMode="auto">
        <a:xfrm>
          <a:off x="4229100" y="13344525"/>
          <a:ext cx="85725" cy="85725"/>
        </a:xfrm>
        <a:prstGeom prst="rect">
          <a:avLst/>
        </a:prstGeom>
        <a:noFill/>
        <a:ln w="9525">
          <a:noFill/>
          <a:miter lim="800000"/>
          <a:headEnd/>
          <a:tailEnd/>
        </a:ln>
      </xdr:spPr>
    </xdr:sp>
    <xdr:clientData/>
  </xdr:twoCellAnchor>
  <xdr:twoCellAnchor>
    <xdr:from>
      <xdr:col>4</xdr:col>
      <xdr:colOff>0</xdr:colOff>
      <xdr:row>45</xdr:row>
      <xdr:rowOff>0</xdr:rowOff>
    </xdr:from>
    <xdr:to>
      <xdr:col>4</xdr:col>
      <xdr:colOff>85725</xdr:colOff>
      <xdr:row>45</xdr:row>
      <xdr:rowOff>85725</xdr:rowOff>
    </xdr:to>
    <xdr:sp macro="" textlink="">
      <xdr:nvSpPr>
        <xdr:cNvPr id="77" name="AutoShape 26">
          <a:extLst>
            <a:ext uri="{FF2B5EF4-FFF2-40B4-BE49-F238E27FC236}">
              <a16:creationId xmlns:a16="http://schemas.microsoft.com/office/drawing/2014/main" id="{00000000-0008-0000-0100-00004D000000}"/>
            </a:ext>
          </a:extLst>
        </xdr:cNvPr>
        <xdr:cNvSpPr>
          <a:spLocks noChangeAspect="1" noChangeArrowheads="1"/>
        </xdr:cNvSpPr>
      </xdr:nvSpPr>
      <xdr:spPr bwMode="auto">
        <a:xfrm>
          <a:off x="4229100" y="13992225"/>
          <a:ext cx="85725" cy="85725"/>
        </a:xfrm>
        <a:prstGeom prst="rect">
          <a:avLst/>
        </a:prstGeom>
        <a:noFill/>
        <a:ln w="9525">
          <a:noFill/>
          <a:miter lim="800000"/>
          <a:headEnd/>
          <a:tailEnd/>
        </a:ln>
      </xdr:spPr>
    </xdr:sp>
    <xdr:clientData/>
  </xdr:twoCellAnchor>
  <xdr:twoCellAnchor>
    <xdr:from>
      <xdr:col>4</xdr:col>
      <xdr:colOff>0</xdr:colOff>
      <xdr:row>45</xdr:row>
      <xdr:rowOff>0</xdr:rowOff>
    </xdr:from>
    <xdr:to>
      <xdr:col>4</xdr:col>
      <xdr:colOff>85725</xdr:colOff>
      <xdr:row>45</xdr:row>
      <xdr:rowOff>85725</xdr:rowOff>
    </xdr:to>
    <xdr:sp macro="" textlink="">
      <xdr:nvSpPr>
        <xdr:cNvPr id="78" name="AutoShape 25">
          <a:extLst>
            <a:ext uri="{FF2B5EF4-FFF2-40B4-BE49-F238E27FC236}">
              <a16:creationId xmlns:a16="http://schemas.microsoft.com/office/drawing/2014/main" id="{00000000-0008-0000-0100-00004E000000}"/>
            </a:ext>
          </a:extLst>
        </xdr:cNvPr>
        <xdr:cNvSpPr>
          <a:spLocks noChangeAspect="1" noChangeArrowheads="1"/>
        </xdr:cNvSpPr>
      </xdr:nvSpPr>
      <xdr:spPr bwMode="auto">
        <a:xfrm>
          <a:off x="4229100" y="13992225"/>
          <a:ext cx="85725" cy="85725"/>
        </a:xfrm>
        <a:prstGeom prst="rect">
          <a:avLst/>
        </a:prstGeom>
        <a:noFill/>
        <a:ln w="9525">
          <a:noFill/>
          <a:miter lim="800000"/>
          <a:headEnd/>
          <a:tailEnd/>
        </a:ln>
      </xdr:spPr>
    </xdr:sp>
    <xdr:clientData/>
  </xdr:twoCellAnchor>
  <xdr:twoCellAnchor>
    <xdr:from>
      <xdr:col>4</xdr:col>
      <xdr:colOff>0</xdr:colOff>
      <xdr:row>45</xdr:row>
      <xdr:rowOff>0</xdr:rowOff>
    </xdr:from>
    <xdr:to>
      <xdr:col>4</xdr:col>
      <xdr:colOff>85725</xdr:colOff>
      <xdr:row>45</xdr:row>
      <xdr:rowOff>85725</xdr:rowOff>
    </xdr:to>
    <xdr:sp macro="" textlink="">
      <xdr:nvSpPr>
        <xdr:cNvPr id="79" name="AutoShape 24">
          <a:extLst>
            <a:ext uri="{FF2B5EF4-FFF2-40B4-BE49-F238E27FC236}">
              <a16:creationId xmlns:a16="http://schemas.microsoft.com/office/drawing/2014/main" id="{00000000-0008-0000-0100-00004F000000}"/>
            </a:ext>
          </a:extLst>
        </xdr:cNvPr>
        <xdr:cNvSpPr>
          <a:spLocks noChangeAspect="1" noChangeArrowheads="1"/>
        </xdr:cNvSpPr>
      </xdr:nvSpPr>
      <xdr:spPr bwMode="auto">
        <a:xfrm>
          <a:off x="4229100" y="13992225"/>
          <a:ext cx="85725" cy="85725"/>
        </a:xfrm>
        <a:prstGeom prst="rect">
          <a:avLst/>
        </a:prstGeom>
        <a:noFill/>
        <a:ln w="9525">
          <a:noFill/>
          <a:miter lim="800000"/>
          <a:headEnd/>
          <a:tailEnd/>
        </a:ln>
      </xdr:spPr>
    </xdr:sp>
    <xdr:clientData/>
  </xdr:twoCellAnchor>
  <xdr:twoCellAnchor>
    <xdr:from>
      <xdr:col>4</xdr:col>
      <xdr:colOff>0</xdr:colOff>
      <xdr:row>45</xdr:row>
      <xdr:rowOff>0</xdr:rowOff>
    </xdr:from>
    <xdr:to>
      <xdr:col>4</xdr:col>
      <xdr:colOff>85725</xdr:colOff>
      <xdr:row>45</xdr:row>
      <xdr:rowOff>85725</xdr:rowOff>
    </xdr:to>
    <xdr:sp macro="" textlink="">
      <xdr:nvSpPr>
        <xdr:cNvPr id="80" name="AutoShape 26">
          <a:extLst>
            <a:ext uri="{FF2B5EF4-FFF2-40B4-BE49-F238E27FC236}">
              <a16:creationId xmlns:a16="http://schemas.microsoft.com/office/drawing/2014/main" id="{00000000-0008-0000-0100-000050000000}"/>
            </a:ext>
          </a:extLst>
        </xdr:cNvPr>
        <xdr:cNvSpPr>
          <a:spLocks noChangeAspect="1" noChangeArrowheads="1"/>
        </xdr:cNvSpPr>
      </xdr:nvSpPr>
      <xdr:spPr bwMode="auto">
        <a:xfrm>
          <a:off x="4229100" y="13992225"/>
          <a:ext cx="85725" cy="85725"/>
        </a:xfrm>
        <a:prstGeom prst="rect">
          <a:avLst/>
        </a:prstGeom>
        <a:noFill/>
        <a:ln w="9525">
          <a:noFill/>
          <a:miter lim="800000"/>
          <a:headEnd/>
          <a:tailEnd/>
        </a:ln>
      </xdr:spPr>
    </xdr:sp>
    <xdr:clientData/>
  </xdr:twoCellAnchor>
  <xdr:twoCellAnchor>
    <xdr:from>
      <xdr:col>4</xdr:col>
      <xdr:colOff>0</xdr:colOff>
      <xdr:row>45</xdr:row>
      <xdr:rowOff>0</xdr:rowOff>
    </xdr:from>
    <xdr:to>
      <xdr:col>4</xdr:col>
      <xdr:colOff>85725</xdr:colOff>
      <xdr:row>45</xdr:row>
      <xdr:rowOff>85725</xdr:rowOff>
    </xdr:to>
    <xdr:sp macro="" textlink="">
      <xdr:nvSpPr>
        <xdr:cNvPr id="81" name="AutoShape 25">
          <a:extLst>
            <a:ext uri="{FF2B5EF4-FFF2-40B4-BE49-F238E27FC236}">
              <a16:creationId xmlns:a16="http://schemas.microsoft.com/office/drawing/2014/main" id="{00000000-0008-0000-0100-000051000000}"/>
            </a:ext>
          </a:extLst>
        </xdr:cNvPr>
        <xdr:cNvSpPr>
          <a:spLocks noChangeAspect="1" noChangeArrowheads="1"/>
        </xdr:cNvSpPr>
      </xdr:nvSpPr>
      <xdr:spPr bwMode="auto">
        <a:xfrm>
          <a:off x="4229100" y="13992225"/>
          <a:ext cx="85725" cy="85725"/>
        </a:xfrm>
        <a:prstGeom prst="rect">
          <a:avLst/>
        </a:prstGeom>
        <a:noFill/>
        <a:ln w="9525">
          <a:noFill/>
          <a:miter lim="800000"/>
          <a:headEnd/>
          <a:tailEnd/>
        </a:ln>
      </xdr:spPr>
    </xdr:sp>
    <xdr:clientData/>
  </xdr:twoCellAnchor>
  <xdr:twoCellAnchor>
    <xdr:from>
      <xdr:col>4</xdr:col>
      <xdr:colOff>0</xdr:colOff>
      <xdr:row>45</xdr:row>
      <xdr:rowOff>0</xdr:rowOff>
    </xdr:from>
    <xdr:to>
      <xdr:col>4</xdr:col>
      <xdr:colOff>85725</xdr:colOff>
      <xdr:row>45</xdr:row>
      <xdr:rowOff>85725</xdr:rowOff>
    </xdr:to>
    <xdr:sp macro="" textlink="">
      <xdr:nvSpPr>
        <xdr:cNvPr id="118" name="AutoShape 24">
          <a:extLst>
            <a:ext uri="{FF2B5EF4-FFF2-40B4-BE49-F238E27FC236}">
              <a16:creationId xmlns:a16="http://schemas.microsoft.com/office/drawing/2014/main" id="{00000000-0008-0000-0100-000076000000}"/>
            </a:ext>
          </a:extLst>
        </xdr:cNvPr>
        <xdr:cNvSpPr>
          <a:spLocks noChangeAspect="1" noChangeArrowheads="1"/>
        </xdr:cNvSpPr>
      </xdr:nvSpPr>
      <xdr:spPr bwMode="auto">
        <a:xfrm>
          <a:off x="4229100" y="13992225"/>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19" name="AutoShape 26">
          <a:extLst>
            <a:ext uri="{FF2B5EF4-FFF2-40B4-BE49-F238E27FC236}">
              <a16:creationId xmlns:a16="http://schemas.microsoft.com/office/drawing/2014/main" id="{00000000-0008-0000-0100-000077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0" name="AutoShape 25">
          <a:extLst>
            <a:ext uri="{FF2B5EF4-FFF2-40B4-BE49-F238E27FC236}">
              <a16:creationId xmlns:a16="http://schemas.microsoft.com/office/drawing/2014/main" id="{00000000-0008-0000-0100-000078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1" name="AutoShape 24">
          <a:extLst>
            <a:ext uri="{FF2B5EF4-FFF2-40B4-BE49-F238E27FC236}">
              <a16:creationId xmlns:a16="http://schemas.microsoft.com/office/drawing/2014/main" id="{00000000-0008-0000-0100-000079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2" name="AutoShape 26">
          <a:extLst>
            <a:ext uri="{FF2B5EF4-FFF2-40B4-BE49-F238E27FC236}">
              <a16:creationId xmlns:a16="http://schemas.microsoft.com/office/drawing/2014/main" id="{00000000-0008-0000-0100-00007A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3" name="AutoShape 25">
          <a:extLst>
            <a:ext uri="{FF2B5EF4-FFF2-40B4-BE49-F238E27FC236}">
              <a16:creationId xmlns:a16="http://schemas.microsoft.com/office/drawing/2014/main" id="{00000000-0008-0000-0100-00007B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4" name="AutoShape 24">
          <a:extLst>
            <a:ext uri="{FF2B5EF4-FFF2-40B4-BE49-F238E27FC236}">
              <a16:creationId xmlns:a16="http://schemas.microsoft.com/office/drawing/2014/main" id="{00000000-0008-0000-0100-00007C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5" name="AutoShape 26">
          <a:extLst>
            <a:ext uri="{FF2B5EF4-FFF2-40B4-BE49-F238E27FC236}">
              <a16:creationId xmlns:a16="http://schemas.microsoft.com/office/drawing/2014/main" id="{00000000-0008-0000-0100-00007D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6" name="AutoShape 25">
          <a:extLst>
            <a:ext uri="{FF2B5EF4-FFF2-40B4-BE49-F238E27FC236}">
              <a16:creationId xmlns:a16="http://schemas.microsoft.com/office/drawing/2014/main" id="{00000000-0008-0000-0100-00007E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7" name="AutoShape 24">
          <a:extLst>
            <a:ext uri="{FF2B5EF4-FFF2-40B4-BE49-F238E27FC236}">
              <a16:creationId xmlns:a16="http://schemas.microsoft.com/office/drawing/2014/main" id="{00000000-0008-0000-0100-00007F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8" name="AutoShape 26">
          <a:extLst>
            <a:ext uri="{FF2B5EF4-FFF2-40B4-BE49-F238E27FC236}">
              <a16:creationId xmlns:a16="http://schemas.microsoft.com/office/drawing/2014/main" id="{00000000-0008-0000-0100-000080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29" name="AutoShape 25">
          <a:extLst>
            <a:ext uri="{FF2B5EF4-FFF2-40B4-BE49-F238E27FC236}">
              <a16:creationId xmlns:a16="http://schemas.microsoft.com/office/drawing/2014/main" id="{00000000-0008-0000-0100-000081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twoCellAnchor>
    <xdr:from>
      <xdr:col>4</xdr:col>
      <xdr:colOff>0</xdr:colOff>
      <xdr:row>47</xdr:row>
      <xdr:rowOff>0</xdr:rowOff>
    </xdr:from>
    <xdr:to>
      <xdr:col>4</xdr:col>
      <xdr:colOff>85725</xdr:colOff>
      <xdr:row>47</xdr:row>
      <xdr:rowOff>85725</xdr:rowOff>
    </xdr:to>
    <xdr:sp macro="" textlink="">
      <xdr:nvSpPr>
        <xdr:cNvPr id="130" name="AutoShape 24">
          <a:extLst>
            <a:ext uri="{FF2B5EF4-FFF2-40B4-BE49-F238E27FC236}">
              <a16:creationId xmlns:a16="http://schemas.microsoft.com/office/drawing/2014/main" id="{00000000-0008-0000-0100-000082000000}"/>
            </a:ext>
          </a:extLst>
        </xdr:cNvPr>
        <xdr:cNvSpPr>
          <a:spLocks noChangeAspect="1" noChangeArrowheads="1"/>
        </xdr:cNvSpPr>
      </xdr:nvSpPr>
      <xdr:spPr bwMode="auto">
        <a:xfrm>
          <a:off x="4229100" y="14878050"/>
          <a:ext cx="85725" cy="85725"/>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68"/>
  <sheetViews>
    <sheetView view="pageBreakPreview" topLeftCell="A43" zoomScale="90" zoomScaleNormal="100" zoomScaleSheetLayoutView="90" workbookViewId="0">
      <selection activeCell="C57" sqref="C57:D58"/>
    </sheetView>
  </sheetViews>
  <sheetFormatPr defaultColWidth="9.1796875" defaultRowHeight="13" x14ac:dyDescent="0.25"/>
  <cols>
    <col min="1" max="1" width="1.54296875" style="106" customWidth="1"/>
    <col min="2" max="2" width="53.453125" style="106" bestFit="1" customWidth="1"/>
    <col min="3" max="3" width="25.7265625" style="106" customWidth="1"/>
    <col min="4" max="4" width="30.7265625" style="106" customWidth="1"/>
    <col min="5" max="16384" width="9.1796875" style="106"/>
  </cols>
  <sheetData>
    <row r="2" spans="2:4" ht="44.9" customHeight="1" x14ac:dyDescent="0.25">
      <c r="B2" s="148" t="s">
        <v>185</v>
      </c>
      <c r="C2" s="149"/>
      <c r="D2" s="150"/>
    </row>
    <row r="3" spans="2:4" ht="34.75" hidden="1" customHeight="1" x14ac:dyDescent="0.25">
      <c r="B3" s="151" t="s">
        <v>186</v>
      </c>
      <c r="C3" s="152"/>
      <c r="D3" s="153"/>
    </row>
    <row r="4" spans="2:4" ht="39" hidden="1" customHeight="1" x14ac:dyDescent="0.25">
      <c r="B4" s="154" t="s">
        <v>187</v>
      </c>
      <c r="C4" s="155"/>
      <c r="D4" s="156"/>
    </row>
    <row r="5" spans="2:4" ht="39.75" hidden="1" customHeight="1" x14ac:dyDescent="0.25">
      <c r="B5" s="151" t="s">
        <v>188</v>
      </c>
      <c r="C5" s="152"/>
      <c r="D5" s="153"/>
    </row>
    <row r="6" spans="2:4" ht="27" hidden="1" customHeight="1" x14ac:dyDescent="0.25">
      <c r="B6" s="151" t="s">
        <v>189</v>
      </c>
      <c r="C6" s="152"/>
      <c r="D6" s="153"/>
    </row>
    <row r="7" spans="2:4" ht="13.5" hidden="1" customHeight="1" x14ac:dyDescent="0.25">
      <c r="B7" s="157" t="s">
        <v>190</v>
      </c>
      <c r="C7" s="131"/>
      <c r="D7" s="158"/>
    </row>
    <row r="8" spans="2:4" ht="42.75" hidden="1" customHeight="1" x14ac:dyDescent="0.25">
      <c r="B8" s="159" t="s">
        <v>191</v>
      </c>
      <c r="C8" s="160"/>
      <c r="D8" s="161"/>
    </row>
    <row r="9" spans="2:4" ht="12.75" customHeight="1" x14ac:dyDescent="0.25">
      <c r="B9" s="146" t="s">
        <v>192</v>
      </c>
      <c r="C9" s="147"/>
      <c r="D9" s="133"/>
    </row>
    <row r="10" spans="2:4" ht="14.15" customHeight="1" x14ac:dyDescent="0.3">
      <c r="B10" s="107" t="s">
        <v>193</v>
      </c>
      <c r="C10" s="132"/>
      <c r="D10" s="133"/>
    </row>
    <row r="11" spans="2:4" ht="14.15" customHeight="1" x14ac:dyDescent="0.3">
      <c r="B11" s="107" t="s">
        <v>194</v>
      </c>
      <c r="C11" s="132"/>
      <c r="D11" s="133"/>
    </row>
    <row r="12" spans="2:4" ht="14.15" customHeight="1" x14ac:dyDescent="0.3">
      <c r="B12" s="107" t="s">
        <v>195</v>
      </c>
      <c r="C12" s="132"/>
      <c r="D12" s="133"/>
    </row>
    <row r="13" spans="2:4" ht="13.4" customHeight="1" x14ac:dyDescent="0.25">
      <c r="B13" s="146" t="s">
        <v>196</v>
      </c>
      <c r="C13" s="147"/>
      <c r="D13" s="133"/>
    </row>
    <row r="14" spans="2:4" ht="14.15" customHeight="1" x14ac:dyDescent="0.3">
      <c r="B14" s="107" t="s">
        <v>197</v>
      </c>
      <c r="C14" s="132"/>
      <c r="D14" s="133"/>
    </row>
    <row r="15" spans="2:4" ht="14.15" customHeight="1" x14ac:dyDescent="0.3">
      <c r="B15" s="107" t="s">
        <v>198</v>
      </c>
      <c r="C15" s="134"/>
      <c r="D15" s="135"/>
    </row>
    <row r="16" spans="2:4" ht="14.15" customHeight="1" x14ac:dyDescent="0.3">
      <c r="B16" s="107" t="s">
        <v>199</v>
      </c>
      <c r="C16" s="132"/>
      <c r="D16" s="133"/>
    </row>
    <row r="17" spans="2:4" ht="14.15" customHeight="1" x14ac:dyDescent="0.3">
      <c r="B17" s="107" t="s">
        <v>200</v>
      </c>
      <c r="C17" s="132"/>
      <c r="D17" s="133"/>
    </row>
    <row r="18" spans="2:4" ht="14.15" customHeight="1" x14ac:dyDescent="0.3">
      <c r="B18" s="107" t="s">
        <v>201</v>
      </c>
      <c r="C18" s="132"/>
      <c r="D18" s="133"/>
    </row>
    <row r="19" spans="2:4" ht="14.15" customHeight="1" x14ac:dyDescent="0.3">
      <c r="B19" s="107" t="s">
        <v>202</v>
      </c>
      <c r="C19" s="132"/>
      <c r="D19" s="133"/>
    </row>
    <row r="20" spans="2:4" ht="14.15" customHeight="1" x14ac:dyDescent="0.3">
      <c r="B20" s="107" t="s">
        <v>203</v>
      </c>
      <c r="C20" s="132"/>
      <c r="D20" s="133"/>
    </row>
    <row r="21" spans="2:4" ht="14.15" customHeight="1" x14ac:dyDescent="0.3">
      <c r="B21" s="107" t="s">
        <v>204</v>
      </c>
      <c r="C21" s="136"/>
      <c r="D21" s="137"/>
    </row>
    <row r="22" spans="2:4" ht="14.15" customHeight="1" x14ac:dyDescent="0.3">
      <c r="B22" s="107" t="s">
        <v>205</v>
      </c>
      <c r="C22" s="132"/>
      <c r="D22" s="133"/>
    </row>
    <row r="23" spans="2:4" ht="14.15" customHeight="1" x14ac:dyDescent="0.3">
      <c r="B23" s="107" t="s">
        <v>206</v>
      </c>
      <c r="C23" s="136"/>
      <c r="D23" s="137"/>
    </row>
    <row r="24" spans="2:4" ht="14.15" customHeight="1" x14ac:dyDescent="0.3">
      <c r="B24" s="107" t="s">
        <v>207</v>
      </c>
      <c r="C24" s="132"/>
      <c r="D24" s="133"/>
    </row>
    <row r="25" spans="2:4" ht="14.15" customHeight="1" x14ac:dyDescent="0.3">
      <c r="B25" s="107" t="s">
        <v>208</v>
      </c>
      <c r="C25" s="132"/>
      <c r="D25" s="133"/>
    </row>
    <row r="26" spans="2:4" ht="12.75" customHeight="1" x14ac:dyDescent="0.25">
      <c r="B26" s="146" t="s">
        <v>209</v>
      </c>
      <c r="C26" s="147"/>
      <c r="D26" s="133"/>
    </row>
    <row r="27" spans="2:4" x14ac:dyDescent="0.3">
      <c r="B27" s="107" t="s">
        <v>210</v>
      </c>
      <c r="C27" s="132"/>
      <c r="D27" s="133"/>
    </row>
    <row r="28" spans="2:4" ht="14.15" customHeight="1" x14ac:dyDescent="0.3">
      <c r="B28" s="107" t="s">
        <v>211</v>
      </c>
      <c r="C28" s="134"/>
      <c r="D28" s="135"/>
    </row>
    <row r="29" spans="2:4" ht="13.4" customHeight="1" x14ac:dyDescent="0.25">
      <c r="B29" s="146" t="s">
        <v>212</v>
      </c>
      <c r="C29" s="147"/>
      <c r="D29" s="133"/>
    </row>
    <row r="30" spans="2:4" ht="14.15" customHeight="1" x14ac:dyDescent="0.3">
      <c r="B30" s="107" t="s">
        <v>197</v>
      </c>
      <c r="C30" s="136"/>
      <c r="D30" s="137"/>
    </row>
    <row r="31" spans="2:4" ht="14.15" customHeight="1" x14ac:dyDescent="0.3">
      <c r="B31" s="107" t="s">
        <v>198</v>
      </c>
      <c r="C31" s="132"/>
      <c r="D31" s="133"/>
    </row>
    <row r="32" spans="2:4" ht="14.15" customHeight="1" x14ac:dyDescent="0.3">
      <c r="B32" s="107" t="s">
        <v>199</v>
      </c>
      <c r="C32" s="132"/>
      <c r="D32" s="133"/>
    </row>
    <row r="33" spans="2:7" ht="14.15" customHeight="1" x14ac:dyDescent="0.3">
      <c r="B33" s="107" t="s">
        <v>200</v>
      </c>
      <c r="C33" s="132"/>
      <c r="D33" s="133"/>
    </row>
    <row r="34" spans="2:7" ht="14.15" customHeight="1" x14ac:dyDescent="0.3">
      <c r="B34" s="107" t="s">
        <v>201</v>
      </c>
      <c r="C34" s="132"/>
      <c r="D34" s="133"/>
    </row>
    <row r="35" spans="2:7" ht="14.15" customHeight="1" x14ac:dyDescent="0.3">
      <c r="B35" s="107" t="s">
        <v>202</v>
      </c>
      <c r="C35" s="132"/>
      <c r="D35" s="133"/>
    </row>
    <row r="36" spans="2:7" ht="14.15" customHeight="1" x14ac:dyDescent="0.3">
      <c r="B36" s="107" t="s">
        <v>203</v>
      </c>
      <c r="C36" s="132"/>
      <c r="D36" s="133"/>
    </row>
    <row r="37" spans="2:7" ht="14.15" customHeight="1" x14ac:dyDescent="0.3">
      <c r="B37" s="107" t="s">
        <v>213</v>
      </c>
      <c r="C37" s="136"/>
      <c r="D37" s="137"/>
    </row>
    <row r="38" spans="2:7" ht="14.15" customHeight="1" x14ac:dyDescent="0.3">
      <c r="B38" s="107" t="s">
        <v>205</v>
      </c>
      <c r="C38" s="134"/>
      <c r="D38" s="135"/>
    </row>
    <row r="39" spans="2:7" ht="14.15" customHeight="1" x14ac:dyDescent="0.3">
      <c r="B39" s="107" t="s">
        <v>206</v>
      </c>
      <c r="C39" s="134"/>
      <c r="D39" s="135"/>
    </row>
    <row r="40" spans="2:7" ht="13.4" customHeight="1" x14ac:dyDescent="0.25">
      <c r="B40" s="146" t="s">
        <v>214</v>
      </c>
      <c r="C40" s="147"/>
      <c r="D40" s="133"/>
    </row>
    <row r="41" spans="2:7" ht="14.15" customHeight="1" x14ac:dyDescent="0.3">
      <c r="B41" s="107" t="s">
        <v>203</v>
      </c>
      <c r="C41" s="132">
        <f>C36</f>
        <v>0</v>
      </c>
      <c r="D41" s="133"/>
    </row>
    <row r="42" spans="2:7" ht="14.15" customHeight="1" x14ac:dyDescent="0.3">
      <c r="B42" s="107" t="s">
        <v>215</v>
      </c>
      <c r="C42" s="134"/>
      <c r="D42" s="135"/>
    </row>
    <row r="43" spans="2:7" ht="14.15" customHeight="1" x14ac:dyDescent="0.3">
      <c r="B43" s="107" t="s">
        <v>216</v>
      </c>
      <c r="C43" s="132" t="str">
        <f>'Basic Data'!C7</f>
        <v xml:space="preserve">USD </v>
      </c>
      <c r="D43" s="133"/>
    </row>
    <row r="44" spans="2:7" ht="14.15" customHeight="1" x14ac:dyDescent="0.3">
      <c r="B44" s="107" t="s">
        <v>217</v>
      </c>
      <c r="C44" s="134"/>
      <c r="D44" s="135"/>
    </row>
    <row r="45" spans="2:7" x14ac:dyDescent="0.3">
      <c r="B45" s="107" t="s">
        <v>218</v>
      </c>
      <c r="C45" s="132">
        <f>C41</f>
        <v>0</v>
      </c>
      <c r="D45" s="133"/>
    </row>
    <row r="46" spans="2:7" ht="12.75" customHeight="1" x14ac:dyDescent="0.25">
      <c r="B46" s="146" t="s">
        <v>219</v>
      </c>
      <c r="C46" s="147"/>
      <c r="D46" s="133"/>
    </row>
    <row r="47" spans="2:7" ht="13.4" customHeight="1" x14ac:dyDescent="0.25">
      <c r="B47" s="146" t="s">
        <v>220</v>
      </c>
      <c r="C47" s="147"/>
      <c r="D47" s="133"/>
    </row>
    <row r="48" spans="2:7" ht="14.15" customHeight="1" x14ac:dyDescent="0.3">
      <c r="B48" s="107" t="s">
        <v>221</v>
      </c>
      <c r="C48" s="144"/>
      <c r="D48" s="145"/>
      <c r="G48" s="106">
        <v>2150</v>
      </c>
    </row>
    <row r="49" spans="2:7" ht="14.15" customHeight="1" x14ac:dyDescent="0.3">
      <c r="B49" s="107" t="s">
        <v>222</v>
      </c>
      <c r="C49" s="144"/>
      <c r="D49" s="145"/>
      <c r="G49" s="106">
        <v>159573</v>
      </c>
    </row>
    <row r="50" spans="2:7" ht="14.15" customHeight="1" x14ac:dyDescent="0.3">
      <c r="B50" s="107" t="s">
        <v>223</v>
      </c>
      <c r="C50" s="132"/>
      <c r="D50" s="133"/>
    </row>
    <row r="51" spans="2:7" ht="14.15" customHeight="1" x14ac:dyDescent="0.3">
      <c r="B51" s="107" t="s">
        <v>224</v>
      </c>
      <c r="C51" s="134"/>
      <c r="D51" s="135"/>
    </row>
    <row r="52" spans="2:7" ht="14.15" customHeight="1" x14ac:dyDescent="0.3">
      <c r="B52" s="107" t="s">
        <v>225</v>
      </c>
      <c r="C52" s="132"/>
      <c r="D52" s="133"/>
    </row>
    <row r="53" spans="2:7" ht="14.15" customHeight="1" x14ac:dyDescent="0.3">
      <c r="B53" s="107" t="s">
        <v>226</v>
      </c>
      <c r="C53" s="136"/>
      <c r="D53" s="137"/>
    </row>
    <row r="54" spans="2:7" ht="14.15" customHeight="1" x14ac:dyDescent="0.3">
      <c r="B54" s="107" t="s">
        <v>227</v>
      </c>
      <c r="C54" s="138"/>
      <c r="D54" s="139"/>
    </row>
    <row r="55" spans="2:7" ht="14.15" customHeight="1" x14ac:dyDescent="0.3">
      <c r="B55" s="107" t="s">
        <v>228</v>
      </c>
      <c r="C55" s="132"/>
      <c r="D55" s="133"/>
    </row>
    <row r="56" spans="2:7" ht="25.4" customHeight="1" x14ac:dyDescent="0.3">
      <c r="B56" s="107" t="s">
        <v>229</v>
      </c>
      <c r="C56" s="132"/>
      <c r="D56" s="133"/>
    </row>
    <row r="57" spans="2:7" ht="14.15" customHeight="1" x14ac:dyDescent="0.3">
      <c r="B57" s="107" t="s">
        <v>230</v>
      </c>
      <c r="C57" s="132"/>
      <c r="D57" s="133"/>
    </row>
    <row r="58" spans="2:7" ht="13.4" customHeight="1" x14ac:dyDescent="0.3">
      <c r="B58" s="108"/>
      <c r="C58" s="140"/>
      <c r="D58" s="141"/>
    </row>
    <row r="59" spans="2:7" ht="24" customHeight="1" x14ac:dyDescent="0.25">
      <c r="B59" s="142" t="s">
        <v>231</v>
      </c>
      <c r="C59" s="142"/>
      <c r="D59" s="142"/>
    </row>
    <row r="60" spans="2:7" ht="13.5" customHeight="1" x14ac:dyDescent="0.25">
      <c r="B60" s="143" t="s">
        <v>232</v>
      </c>
      <c r="C60" s="143"/>
      <c r="D60" s="143"/>
    </row>
    <row r="61" spans="2:7" ht="36.75" customHeight="1" x14ac:dyDescent="0.25">
      <c r="B61" s="131" t="s">
        <v>233</v>
      </c>
      <c r="C61" s="131"/>
      <c r="D61" s="131"/>
    </row>
    <row r="62" spans="2:7" ht="49.4" customHeight="1" x14ac:dyDescent="0.25">
      <c r="B62" s="131" t="s">
        <v>234</v>
      </c>
      <c r="C62" s="131"/>
      <c r="D62" s="131"/>
    </row>
    <row r="63" spans="2:7" ht="36.75" customHeight="1" x14ac:dyDescent="0.25">
      <c r="B63" s="131" t="s">
        <v>235</v>
      </c>
      <c r="C63" s="131"/>
      <c r="D63" s="131"/>
    </row>
    <row r="64" spans="2:7" ht="13.5" hidden="1" customHeight="1" x14ac:dyDescent="0.25">
      <c r="B64" s="131" t="s">
        <v>236</v>
      </c>
      <c r="C64" s="131"/>
      <c r="D64" s="131"/>
    </row>
    <row r="65" spans="2:4" ht="13.5" customHeight="1" x14ac:dyDescent="0.25">
      <c r="B65" s="131" t="s">
        <v>237</v>
      </c>
      <c r="C65" s="131"/>
      <c r="D65" s="131"/>
    </row>
    <row r="66" spans="2:4" ht="13.5" customHeight="1" x14ac:dyDescent="0.25">
      <c r="B66" s="131" t="s">
        <v>238</v>
      </c>
      <c r="C66" s="131"/>
      <c r="D66" s="131"/>
    </row>
    <row r="67" spans="2:4" ht="13.5" customHeight="1" x14ac:dyDescent="0.25">
      <c r="B67" s="131" t="s">
        <v>239</v>
      </c>
      <c r="C67" s="131"/>
      <c r="D67" s="131"/>
    </row>
    <row r="68" spans="2:4" ht="46" customHeight="1" x14ac:dyDescent="0.25">
      <c r="B68" s="128" t="s">
        <v>240</v>
      </c>
      <c r="C68" s="129"/>
      <c r="D68" s="130"/>
    </row>
  </sheetData>
  <mergeCells count="67">
    <mergeCell ref="B13:D13"/>
    <mergeCell ref="B2:D2"/>
    <mergeCell ref="B3:D3"/>
    <mergeCell ref="B4:D4"/>
    <mergeCell ref="B5:D5"/>
    <mergeCell ref="B6:D6"/>
    <mergeCell ref="B7:D7"/>
    <mergeCell ref="B8:D8"/>
    <mergeCell ref="B9:D9"/>
    <mergeCell ref="C10:D10"/>
    <mergeCell ref="C11:D11"/>
    <mergeCell ref="C12:D12"/>
    <mergeCell ref="C25:D25"/>
    <mergeCell ref="C14:D14"/>
    <mergeCell ref="C15:D15"/>
    <mergeCell ref="C16:D16"/>
    <mergeCell ref="C17:D17"/>
    <mergeCell ref="C18:D18"/>
    <mergeCell ref="C19:D19"/>
    <mergeCell ref="C20:D20"/>
    <mergeCell ref="C21:D21"/>
    <mergeCell ref="C22:D22"/>
    <mergeCell ref="C23:D23"/>
    <mergeCell ref="C24:D24"/>
    <mergeCell ref="C37:D37"/>
    <mergeCell ref="B26:D26"/>
    <mergeCell ref="C27:D27"/>
    <mergeCell ref="C28:D28"/>
    <mergeCell ref="B29:D29"/>
    <mergeCell ref="C30:D30"/>
    <mergeCell ref="C31:D31"/>
    <mergeCell ref="C32:D32"/>
    <mergeCell ref="C33:D33"/>
    <mergeCell ref="C34:D34"/>
    <mergeCell ref="C35:D35"/>
    <mergeCell ref="C36:D36"/>
    <mergeCell ref="C49:D49"/>
    <mergeCell ref="C38:D38"/>
    <mergeCell ref="C39:D39"/>
    <mergeCell ref="B40:D40"/>
    <mergeCell ref="C41:D41"/>
    <mergeCell ref="C42:D42"/>
    <mergeCell ref="C43:D43"/>
    <mergeCell ref="C44:D44"/>
    <mergeCell ref="C45:D45"/>
    <mergeCell ref="B46:D46"/>
    <mergeCell ref="B47:D47"/>
    <mergeCell ref="C48:D48"/>
    <mergeCell ref="B61:D61"/>
    <mergeCell ref="C50:D50"/>
    <mergeCell ref="C51:D51"/>
    <mergeCell ref="C52:D52"/>
    <mergeCell ref="C53:D53"/>
    <mergeCell ref="C54:D54"/>
    <mergeCell ref="C55:D55"/>
    <mergeCell ref="C56:D56"/>
    <mergeCell ref="C57:D57"/>
    <mergeCell ref="C58:D58"/>
    <mergeCell ref="B59:D59"/>
    <mergeCell ref="B60:D60"/>
    <mergeCell ref="B68:D68"/>
    <mergeCell ref="B62:D62"/>
    <mergeCell ref="B63:D63"/>
    <mergeCell ref="B64:D64"/>
    <mergeCell ref="B65:D65"/>
    <mergeCell ref="B66:D66"/>
    <mergeCell ref="B67:D67"/>
  </mergeCells>
  <pageMargins left="0.7" right="0.7" top="0.75" bottom="0.75" header="0.3" footer="0.3"/>
  <pageSetup paperSize="9" scale="7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P87"/>
  <sheetViews>
    <sheetView showGridLines="0" view="pageBreakPreview" zoomScaleSheetLayoutView="100" workbookViewId="0">
      <selection activeCell="E6" sqref="E6"/>
    </sheetView>
  </sheetViews>
  <sheetFormatPr defaultColWidth="9.1796875" defaultRowHeight="15.5" x14ac:dyDescent="0.35"/>
  <cols>
    <col min="1" max="1" width="4" style="1" customWidth="1"/>
    <col min="2" max="2" width="3.54296875" style="1" customWidth="1"/>
    <col min="3" max="3" width="3.54296875" style="16" customWidth="1"/>
    <col min="4" max="4" width="52.1796875" style="1" customWidth="1"/>
    <col min="5" max="5" width="20.54296875" style="1" customWidth="1"/>
    <col min="6" max="6" width="26.7265625" style="16" customWidth="1"/>
    <col min="7" max="7" width="15.81640625" style="1" bestFit="1" customWidth="1"/>
    <col min="8" max="8" width="10.54296875" style="1" bestFit="1" customWidth="1"/>
    <col min="9" max="10" width="12.81640625" style="1" bestFit="1" customWidth="1"/>
    <col min="11" max="16384" width="9.1796875" style="1"/>
  </cols>
  <sheetData>
    <row r="1" spans="1:6" x14ac:dyDescent="0.35">
      <c r="A1" s="109" t="s">
        <v>244</v>
      </c>
      <c r="E1" s="117" t="s">
        <v>45</v>
      </c>
      <c r="F1" s="117" t="str">
        <f>'Basic Data'!N1</f>
        <v>0040 - MLSPL</v>
      </c>
    </row>
    <row r="2" spans="1:6" x14ac:dyDescent="0.35">
      <c r="A2" s="1" t="s">
        <v>174</v>
      </c>
      <c r="C2" s="162">
        <v>2024</v>
      </c>
      <c r="D2" s="162"/>
      <c r="E2" s="117" t="s">
        <v>242</v>
      </c>
      <c r="F2" s="127" t="s">
        <v>266</v>
      </c>
    </row>
    <row r="3" spans="1:6" x14ac:dyDescent="0.35">
      <c r="A3" s="1" t="s">
        <v>175</v>
      </c>
      <c r="C3" s="162">
        <v>2024</v>
      </c>
      <c r="D3" s="162"/>
      <c r="E3" s="117" t="s">
        <v>249</v>
      </c>
      <c r="F3" s="117" t="s">
        <v>248</v>
      </c>
    </row>
    <row r="4" spans="1:6" x14ac:dyDescent="0.35">
      <c r="A4" s="1" t="s">
        <v>245</v>
      </c>
      <c r="C4" s="162">
        <v>2024</v>
      </c>
      <c r="D4" s="162"/>
    </row>
    <row r="11" spans="1:6" x14ac:dyDescent="0.35">
      <c r="B11" s="181" t="s">
        <v>0</v>
      </c>
      <c r="C11" s="181"/>
      <c r="D11" s="181"/>
      <c r="E11" s="181"/>
      <c r="F11" s="181"/>
    </row>
    <row r="12" spans="1:6" ht="16" x14ac:dyDescent="0.4">
      <c r="B12" s="182" t="s">
        <v>61</v>
      </c>
      <c r="C12" s="182"/>
      <c r="D12" s="182"/>
      <c r="E12" s="182"/>
      <c r="F12" s="182"/>
    </row>
    <row r="13" spans="1:6" ht="17.5" customHeight="1" x14ac:dyDescent="0.35">
      <c r="B13" s="183" t="s">
        <v>1</v>
      </c>
      <c r="C13" s="183"/>
      <c r="D13" s="183"/>
      <c r="E13" s="183"/>
      <c r="F13" s="183"/>
    </row>
    <row r="14" spans="1:6" x14ac:dyDescent="0.35">
      <c r="B14" s="184" t="s">
        <v>17</v>
      </c>
      <c r="C14" s="185"/>
      <c r="D14" s="185"/>
      <c r="E14" s="185"/>
      <c r="F14" s="186"/>
    </row>
    <row r="15" spans="1:6" x14ac:dyDescent="0.35">
      <c r="B15" s="173" t="s">
        <v>184</v>
      </c>
      <c r="C15" s="174"/>
      <c r="D15" s="174"/>
      <c r="E15" s="174"/>
      <c r="F15" s="175"/>
    </row>
    <row r="16" spans="1:6" ht="13.75" customHeight="1" x14ac:dyDescent="0.35">
      <c r="B16" s="170" t="s">
        <v>18</v>
      </c>
      <c r="C16" s="171"/>
      <c r="D16" s="171"/>
      <c r="E16" s="171"/>
      <c r="F16" s="172"/>
    </row>
    <row r="17" spans="2:16" x14ac:dyDescent="0.35">
      <c r="B17" s="173">
        <f>'Basic Data'!E4</f>
        <v>0</v>
      </c>
      <c r="C17" s="174"/>
      <c r="D17" s="174"/>
      <c r="E17" s="174"/>
      <c r="F17" s="175"/>
    </row>
    <row r="18" spans="2:16" ht="57" customHeight="1" x14ac:dyDescent="0.35">
      <c r="B18" s="176" t="s">
        <v>70</v>
      </c>
      <c r="C18" s="177"/>
      <c r="D18" s="177"/>
      <c r="E18" s="177"/>
      <c r="F18" s="178"/>
    </row>
    <row r="19" spans="2:16" x14ac:dyDescent="0.35">
      <c r="B19" s="2" t="s">
        <v>2</v>
      </c>
      <c r="C19" s="179" t="s">
        <v>3</v>
      </c>
      <c r="D19" s="180"/>
      <c r="E19" s="180"/>
      <c r="F19" s="35"/>
    </row>
    <row r="20" spans="2:16" ht="18" customHeight="1" x14ac:dyDescent="0.35">
      <c r="B20" s="2"/>
      <c r="C20" s="33"/>
      <c r="D20" s="187" t="str">
        <f>'Basic Data'!C4</f>
        <v>K &amp; C Medical Co. Ltd.</v>
      </c>
      <c r="E20" s="187"/>
      <c r="F20" s="188"/>
    </row>
    <row r="21" spans="2:16" ht="32.25" customHeight="1" x14ac:dyDescent="0.35">
      <c r="B21" s="2"/>
      <c r="C21" s="34"/>
      <c r="D21" s="187" t="str">
        <f>'Basic Data'!C5</f>
        <v>4F, No 53, Lane 147, Anxiang Road, Xindia District, New Taipei City, R.O.C. 10041</v>
      </c>
      <c r="E21" s="187"/>
      <c r="F21" s="188"/>
    </row>
    <row r="22" spans="2:16" x14ac:dyDescent="0.35">
      <c r="B22" s="39" t="s">
        <v>4</v>
      </c>
      <c r="C22" s="53">
        <v>1</v>
      </c>
      <c r="D22" s="3" t="s">
        <v>5</v>
      </c>
      <c r="E22" s="3" t="s">
        <v>16</v>
      </c>
      <c r="F22" s="3" t="s">
        <v>15</v>
      </c>
    </row>
    <row r="23" spans="2:16" ht="19.5" customHeight="1" x14ac:dyDescent="0.35">
      <c r="B23" s="40"/>
      <c r="C23" s="54"/>
      <c r="D23" s="38"/>
      <c r="E23" s="38" t="str">
        <f>'Basic Data'!C6</f>
        <v>Taiwan</v>
      </c>
      <c r="F23" s="38" t="str">
        <f>'Basic Data'!C7</f>
        <v xml:space="preserve">USD </v>
      </c>
    </row>
    <row r="24" spans="2:16" ht="18.75" customHeight="1" x14ac:dyDescent="0.35">
      <c r="B24" s="59"/>
      <c r="C24" s="166">
        <v>2</v>
      </c>
      <c r="D24" s="168" t="s">
        <v>71</v>
      </c>
      <c r="E24" s="32" t="s">
        <v>6</v>
      </c>
      <c r="F24" s="32" t="s">
        <v>31</v>
      </c>
      <c r="G24" s="4"/>
    </row>
    <row r="25" spans="2:16" x14ac:dyDescent="0.35">
      <c r="B25" s="59"/>
      <c r="C25" s="167"/>
      <c r="D25" s="169"/>
      <c r="E25" s="46" t="str">
        <f>'Basic Data'!G10</f>
        <v>USD 26833.33</v>
      </c>
      <c r="F25" s="47">
        <f>'Basic Data'!E10</f>
        <v>2308423</v>
      </c>
      <c r="G25" s="5"/>
      <c r="H25" s="5"/>
    </row>
    <row r="26" spans="2:16" x14ac:dyDescent="0.35">
      <c r="B26" s="59"/>
      <c r="C26" s="41"/>
      <c r="D26" s="6"/>
      <c r="E26" s="48"/>
      <c r="F26" s="49" t="str">
        <f>'Basic Data'!E16</f>
        <v>(approx) @ 86.028212</v>
      </c>
      <c r="G26" s="5"/>
      <c r="H26" s="5"/>
    </row>
    <row r="27" spans="2:16" ht="67.75" customHeight="1" x14ac:dyDescent="0.35">
      <c r="B27" s="59"/>
      <c r="C27" s="55">
        <v>3</v>
      </c>
      <c r="D27" s="101" t="s">
        <v>67</v>
      </c>
      <c r="E27" s="163" t="str">
        <f>'Basic Data'!G23</f>
        <v>Kotak Mahindra Bank Plot No. 586, Mahalaxmi Society, Vapi Daman Road, Chala, Vapi</v>
      </c>
      <c r="F27" s="163"/>
    </row>
    <row r="28" spans="2:16" x14ac:dyDescent="0.35">
      <c r="B28" s="59"/>
      <c r="C28" s="56">
        <v>4</v>
      </c>
      <c r="D28" s="7" t="s">
        <v>7</v>
      </c>
      <c r="E28" s="163">
        <f>'Basic Data'!G24</f>
        <v>5560065</v>
      </c>
      <c r="F28" s="163"/>
    </row>
    <row r="29" spans="2:16" x14ac:dyDescent="0.35">
      <c r="B29" s="59"/>
      <c r="C29" s="56">
        <v>5</v>
      </c>
      <c r="D29" s="8" t="s">
        <v>8</v>
      </c>
      <c r="E29" s="164">
        <f>'Basic Data'!C26</f>
        <v>45766</v>
      </c>
      <c r="F29" s="165"/>
      <c r="J29" s="189"/>
      <c r="K29" s="189"/>
      <c r="L29" s="189"/>
      <c r="M29" s="189"/>
      <c r="N29" s="189"/>
      <c r="O29" s="189"/>
      <c r="P29" s="190"/>
    </row>
    <row r="30" spans="2:16" ht="31.75" customHeight="1" x14ac:dyDescent="0.35">
      <c r="B30" s="59"/>
      <c r="C30" s="56">
        <v>6</v>
      </c>
      <c r="D30" s="7" t="s">
        <v>13</v>
      </c>
      <c r="E30" s="203" t="s">
        <v>62</v>
      </c>
      <c r="F30" s="204"/>
      <c r="H30" s="9"/>
    </row>
    <row r="31" spans="2:16" ht="33.75" customHeight="1" x14ac:dyDescent="0.35">
      <c r="B31" s="59"/>
      <c r="C31" s="57">
        <v>7</v>
      </c>
      <c r="D31" s="37" t="s">
        <v>72</v>
      </c>
      <c r="E31" s="205" t="s">
        <v>38</v>
      </c>
      <c r="F31" s="206"/>
      <c r="H31" s="10"/>
      <c r="J31" s="5"/>
    </row>
    <row r="32" spans="2:16" s="43" customFormat="1" ht="33.75" customHeight="1" x14ac:dyDescent="0.35">
      <c r="B32" s="60"/>
      <c r="C32" s="207">
        <v>8</v>
      </c>
      <c r="D32" s="51" t="s">
        <v>96</v>
      </c>
      <c r="E32" s="228"/>
      <c r="F32" s="229"/>
    </row>
    <row r="33" spans="2:10" s="43" customFormat="1" ht="97.5" customHeight="1" x14ac:dyDescent="0.35">
      <c r="B33" s="60"/>
      <c r="C33" s="208"/>
      <c r="D33" s="64" t="s">
        <v>95</v>
      </c>
      <c r="E33" s="225" t="s">
        <v>182</v>
      </c>
      <c r="F33" s="226"/>
      <c r="G33" s="45"/>
    </row>
    <row r="34" spans="2:10" s="43" customFormat="1" ht="18.75" customHeight="1" x14ac:dyDescent="0.35">
      <c r="B34" s="60"/>
      <c r="C34" s="208"/>
      <c r="D34" s="64" t="s">
        <v>94</v>
      </c>
      <c r="E34" s="227" t="str">
        <f>'Basic Data'!O10&amp;'Basic Data'!P10</f>
        <v>Rs. 2623209</v>
      </c>
      <c r="F34" s="226"/>
      <c r="G34" s="45"/>
      <c r="H34" s="45"/>
      <c r="I34" s="45"/>
      <c r="J34" s="45"/>
    </row>
    <row r="35" spans="2:10" s="43" customFormat="1" x14ac:dyDescent="0.35">
      <c r="B35" s="60"/>
      <c r="C35" s="208"/>
      <c r="D35" s="64" t="s">
        <v>93</v>
      </c>
      <c r="E35" s="225" t="str">
        <f>"Rs. "&amp;'Basic Data'!P11</f>
        <v>Rs. 545627</v>
      </c>
      <c r="F35" s="226"/>
      <c r="G35" s="110">
        <f>21646/104066%</f>
        <v>20.800261372590469</v>
      </c>
      <c r="I35" s="45"/>
    </row>
    <row r="36" spans="2:10" s="43" customFormat="1" ht="89.25" customHeight="1" x14ac:dyDescent="0.35">
      <c r="B36" s="60"/>
      <c r="C36" s="209"/>
      <c r="D36" s="64" t="s">
        <v>92</v>
      </c>
      <c r="E36" s="193" t="s">
        <v>246</v>
      </c>
      <c r="F36" s="194"/>
    </row>
    <row r="37" spans="2:10" s="43" customFormat="1" ht="4.4000000000000004" customHeight="1" x14ac:dyDescent="0.35">
      <c r="B37" s="73"/>
      <c r="C37" s="74"/>
      <c r="D37" s="73"/>
      <c r="E37" s="42"/>
      <c r="F37" s="42"/>
    </row>
    <row r="38" spans="2:10" s="43" customFormat="1" ht="6" customHeight="1" x14ac:dyDescent="0.35">
      <c r="B38" s="71"/>
      <c r="C38" s="72"/>
      <c r="D38" s="71"/>
      <c r="E38" s="68"/>
      <c r="F38" s="68"/>
    </row>
    <row r="39" spans="2:10" s="43" customFormat="1" x14ac:dyDescent="0.35">
      <c r="B39" s="60"/>
      <c r="C39" s="69">
        <v>9</v>
      </c>
      <c r="D39" s="70" t="s">
        <v>102</v>
      </c>
      <c r="E39" s="199"/>
      <c r="F39" s="200"/>
    </row>
    <row r="40" spans="2:10" s="43" customFormat="1" ht="31" x14ac:dyDescent="0.35">
      <c r="B40" s="60"/>
      <c r="C40" s="65"/>
      <c r="D40" s="44" t="s">
        <v>97</v>
      </c>
      <c r="E40" s="230" t="s">
        <v>38</v>
      </c>
      <c r="F40" s="231"/>
    </row>
    <row r="41" spans="2:10" s="43" customFormat="1" ht="20.25" customHeight="1" x14ac:dyDescent="0.35">
      <c r="B41" s="60"/>
      <c r="C41" s="65"/>
      <c r="D41" s="51" t="s">
        <v>91</v>
      </c>
      <c r="E41" s="195" t="s">
        <v>183</v>
      </c>
      <c r="F41" s="196"/>
    </row>
    <row r="42" spans="2:10" s="43" customFormat="1" ht="33" customHeight="1" x14ac:dyDescent="0.35">
      <c r="B42" s="60"/>
      <c r="C42" s="65"/>
      <c r="D42" s="51" t="s">
        <v>90</v>
      </c>
      <c r="E42" s="201" t="str">
        <f>E46</f>
        <v>Article 12 - Royalties and Fees for Technical Services of India-Taipei DTAA</v>
      </c>
      <c r="F42" s="202"/>
    </row>
    <row r="43" spans="2:10" s="43" customFormat="1" ht="18" customHeight="1" x14ac:dyDescent="0.35">
      <c r="B43" s="60"/>
      <c r="C43" s="65"/>
      <c r="D43" s="51" t="s">
        <v>89</v>
      </c>
      <c r="E43" s="52" t="s">
        <v>166</v>
      </c>
      <c r="F43" s="67">
        <f>+'Basic Data'!E10</f>
        <v>2308423</v>
      </c>
    </row>
    <row r="44" spans="2:10" s="43" customFormat="1" ht="17.5" customHeight="1" x14ac:dyDescent="0.35">
      <c r="B44" s="60"/>
      <c r="C44" s="65"/>
      <c r="D44" s="51" t="s">
        <v>88</v>
      </c>
      <c r="E44" s="52" t="s">
        <v>166</v>
      </c>
      <c r="F44" s="67">
        <f>+'Basic Data'!E11</f>
        <v>230842</v>
      </c>
    </row>
    <row r="45" spans="2:10" s="43" customFormat="1" ht="51" customHeight="1" x14ac:dyDescent="0.35">
      <c r="B45" s="60"/>
      <c r="C45" s="65"/>
      <c r="D45" s="51" t="s">
        <v>87</v>
      </c>
      <c r="E45" s="184" t="s">
        <v>38</v>
      </c>
      <c r="F45" s="186"/>
    </row>
    <row r="46" spans="2:10" s="43" customFormat="1" ht="42" customHeight="1" x14ac:dyDescent="0.35">
      <c r="B46" s="60"/>
      <c r="C46" s="65"/>
      <c r="D46" s="51" t="s">
        <v>86</v>
      </c>
      <c r="E46" s="201" t="s">
        <v>176</v>
      </c>
      <c r="F46" s="202"/>
      <c r="H46" s="43" t="s">
        <v>173</v>
      </c>
    </row>
    <row r="47" spans="2:10" s="43" customFormat="1" ht="36.75" customHeight="1" x14ac:dyDescent="0.35">
      <c r="B47" s="60"/>
      <c r="C47" s="65"/>
      <c r="D47" s="51" t="s">
        <v>85</v>
      </c>
      <c r="E47" s="112" t="s">
        <v>84</v>
      </c>
      <c r="F47" s="111">
        <v>0.1</v>
      </c>
    </row>
    <row r="48" spans="2:10" s="43" customFormat="1" ht="31" x14ac:dyDescent="0.35">
      <c r="B48" s="60"/>
      <c r="C48" s="65"/>
      <c r="D48" s="51" t="s">
        <v>83</v>
      </c>
      <c r="E48" s="184" t="s">
        <v>40</v>
      </c>
      <c r="F48" s="186"/>
    </row>
    <row r="49" spans="2:8" s="43" customFormat="1" ht="15.75" customHeight="1" x14ac:dyDescent="0.35">
      <c r="B49" s="60"/>
      <c r="C49" s="65"/>
      <c r="D49" s="51" t="s">
        <v>103</v>
      </c>
      <c r="E49" s="184"/>
      <c r="F49" s="186"/>
    </row>
    <row r="50" spans="2:8" s="43" customFormat="1" ht="34" customHeight="1" x14ac:dyDescent="0.35">
      <c r="B50" s="60"/>
      <c r="C50" s="65"/>
      <c r="D50" s="51" t="s">
        <v>104</v>
      </c>
      <c r="E50" s="197"/>
      <c r="F50" s="198"/>
    </row>
    <row r="51" spans="2:8" s="43" customFormat="1" ht="33" customHeight="1" x14ac:dyDescent="0.35">
      <c r="B51" s="60"/>
      <c r="C51" s="65"/>
      <c r="D51" s="51" t="s">
        <v>82</v>
      </c>
      <c r="E51" s="184" t="s">
        <v>40</v>
      </c>
      <c r="F51" s="186"/>
    </row>
    <row r="52" spans="2:8" s="43" customFormat="1" ht="18.75" customHeight="1" x14ac:dyDescent="0.35">
      <c r="B52" s="224"/>
      <c r="C52" s="65"/>
      <c r="D52" s="51" t="s">
        <v>81</v>
      </c>
      <c r="E52" s="191"/>
      <c r="F52" s="192"/>
    </row>
    <row r="53" spans="2:8" s="43" customFormat="1" ht="18.75" customHeight="1" x14ac:dyDescent="0.35">
      <c r="B53" s="224"/>
      <c r="C53" s="65"/>
      <c r="D53" s="51" t="s">
        <v>80</v>
      </c>
      <c r="E53" s="191"/>
      <c r="F53" s="192"/>
    </row>
    <row r="54" spans="2:8" s="43" customFormat="1" x14ac:dyDescent="0.35">
      <c r="B54" s="224"/>
      <c r="C54" s="65"/>
      <c r="D54" s="51" t="s">
        <v>79</v>
      </c>
      <c r="E54" s="191" t="s">
        <v>170</v>
      </c>
      <c r="F54" s="192"/>
    </row>
    <row r="55" spans="2:8" s="43" customFormat="1" ht="31" x14ac:dyDescent="0.35">
      <c r="B55" s="59"/>
      <c r="C55" s="65"/>
      <c r="D55" s="51" t="s">
        <v>78</v>
      </c>
      <c r="E55" s="184" t="s">
        <v>40</v>
      </c>
      <c r="F55" s="186"/>
    </row>
    <row r="56" spans="2:8" s="43" customFormat="1" ht="20.25" customHeight="1" x14ac:dyDescent="0.35">
      <c r="B56" s="59"/>
      <c r="C56" s="65"/>
      <c r="D56" s="51" t="s">
        <v>77</v>
      </c>
      <c r="E56" s="191"/>
      <c r="F56" s="192"/>
    </row>
    <row r="57" spans="2:8" s="43" customFormat="1" x14ac:dyDescent="0.35">
      <c r="B57" s="59"/>
      <c r="C57" s="65"/>
      <c r="D57" s="51" t="s">
        <v>76</v>
      </c>
      <c r="E57" s="191"/>
      <c r="F57" s="192"/>
    </row>
    <row r="58" spans="2:8" s="43" customFormat="1" ht="31" x14ac:dyDescent="0.35">
      <c r="B58" s="59"/>
      <c r="C58" s="65"/>
      <c r="D58" s="51" t="s">
        <v>75</v>
      </c>
      <c r="E58" s="191"/>
      <c r="F58" s="192"/>
    </row>
    <row r="59" spans="2:8" s="43" customFormat="1" ht="33" customHeight="1" x14ac:dyDescent="0.35">
      <c r="B59" s="59"/>
      <c r="C59" s="66"/>
      <c r="D59" s="51" t="s">
        <v>74</v>
      </c>
      <c r="E59" s="191"/>
      <c r="F59" s="192"/>
    </row>
    <row r="60" spans="2:8" s="43" customFormat="1" ht="18" customHeight="1" x14ac:dyDescent="0.35">
      <c r="B60" s="59"/>
      <c r="C60" s="207">
        <v>10</v>
      </c>
      <c r="D60" s="215" t="s">
        <v>9</v>
      </c>
      <c r="E60" s="32" t="s">
        <v>6</v>
      </c>
      <c r="F60" s="32" t="s">
        <v>31</v>
      </c>
    </row>
    <row r="61" spans="2:8" s="43" customFormat="1" ht="15" customHeight="1" x14ac:dyDescent="0.35">
      <c r="B61" s="59"/>
      <c r="C61" s="208"/>
      <c r="D61" s="216"/>
      <c r="E61" s="46">
        <f>'Basic Data'!C11</f>
        <v>2683.33</v>
      </c>
      <c r="F61" s="47">
        <f>'Basic Data'!E11</f>
        <v>230842</v>
      </c>
    </row>
    <row r="62" spans="2:8" s="43" customFormat="1" ht="15" customHeight="1" x14ac:dyDescent="0.35">
      <c r="B62" s="59"/>
      <c r="C62" s="209"/>
      <c r="D62" s="217"/>
      <c r="E62" s="48"/>
      <c r="F62" s="49" t="str">
        <f>'Basic Data'!E16</f>
        <v>(approx) @ 86.028212</v>
      </c>
    </row>
    <row r="63" spans="2:8" s="43" customFormat="1" ht="15.75" customHeight="1" x14ac:dyDescent="0.35">
      <c r="B63" s="59"/>
      <c r="C63" s="166">
        <v>11</v>
      </c>
      <c r="D63" s="218" t="s">
        <v>10</v>
      </c>
      <c r="E63" s="32" t="s">
        <v>33</v>
      </c>
      <c r="F63" s="32" t="s">
        <v>59</v>
      </c>
      <c r="H63" s="43" t="s">
        <v>178</v>
      </c>
    </row>
    <row r="64" spans="2:8" s="43" customFormat="1" ht="30.75" customHeight="1" x14ac:dyDescent="0.35">
      <c r="B64" s="59"/>
      <c r="C64" s="167"/>
      <c r="D64" s="213"/>
      <c r="E64" s="100" t="str">
        <f>'Basic Data'!C13&amp;'Basic Data'!D13</f>
        <v xml:space="preserve">20.8% </v>
      </c>
      <c r="F64" s="104" t="str">
        <f>'Basic Data'!A11&amp;'Basic Data'!D14</f>
        <v>10% (Since TRC provided tax @ 10%)</v>
      </c>
      <c r="G64" s="103" t="s">
        <v>179</v>
      </c>
      <c r="H64" s="43" t="s">
        <v>177</v>
      </c>
    </row>
    <row r="65" spans="2:7" s="43" customFormat="1" ht="15.75" customHeight="1" x14ac:dyDescent="0.35">
      <c r="B65" s="59"/>
      <c r="C65" s="219">
        <v>12</v>
      </c>
      <c r="D65" s="220" t="s">
        <v>11</v>
      </c>
      <c r="E65" s="32" t="s">
        <v>6</v>
      </c>
      <c r="F65" s="32" t="s">
        <v>31</v>
      </c>
    </row>
    <row r="66" spans="2:7" s="43" customFormat="1" ht="16.5" customHeight="1" x14ac:dyDescent="0.35">
      <c r="B66" s="59"/>
      <c r="C66" s="219"/>
      <c r="D66" s="221"/>
      <c r="E66" s="48" t="str">
        <f>'Basic Data'!G12</f>
        <v>USD 24150</v>
      </c>
      <c r="F66" s="63">
        <f>'Basic Data'!E12</f>
        <v>2077581</v>
      </c>
      <c r="G66" s="105">
        <f>F66+F61-F25</f>
        <v>0</v>
      </c>
    </row>
    <row r="67" spans="2:7" s="43" customFormat="1" x14ac:dyDescent="0.35">
      <c r="B67" s="61"/>
      <c r="C67" s="58">
        <v>13</v>
      </c>
      <c r="D67" s="51" t="s">
        <v>73</v>
      </c>
      <c r="E67" s="222">
        <f>'Basic Data'!C28</f>
        <v>45747</v>
      </c>
      <c r="F67" s="223"/>
    </row>
    <row r="68" spans="2:7" x14ac:dyDescent="0.35">
      <c r="B68" s="11"/>
      <c r="C68" s="12"/>
      <c r="D68" s="13"/>
      <c r="E68" s="14"/>
      <c r="F68" s="36"/>
    </row>
    <row r="69" spans="2:7" x14ac:dyDescent="0.35">
      <c r="B69" s="15" t="str">
        <f>'Basic Data'!D30</f>
        <v xml:space="preserve">**Certificate No. : </v>
      </c>
      <c r="D69" s="17"/>
      <c r="E69" s="17"/>
      <c r="F69" s="18"/>
    </row>
    <row r="70" spans="2:7" x14ac:dyDescent="0.35">
      <c r="B70" s="15"/>
      <c r="D70" s="17"/>
      <c r="E70" s="17"/>
      <c r="F70" s="18"/>
    </row>
    <row r="71" spans="2:7" x14ac:dyDescent="0.35">
      <c r="B71" s="15"/>
      <c r="D71" s="17"/>
      <c r="E71" s="17"/>
      <c r="F71" s="19"/>
    </row>
    <row r="72" spans="2:7" x14ac:dyDescent="0.35">
      <c r="B72" s="15"/>
      <c r="D72" s="17"/>
      <c r="E72" s="17"/>
      <c r="F72" s="19"/>
    </row>
    <row r="73" spans="2:7" x14ac:dyDescent="0.35">
      <c r="B73" s="15"/>
      <c r="D73" s="17"/>
      <c r="E73" s="17"/>
      <c r="F73" s="19"/>
    </row>
    <row r="74" spans="2:7" x14ac:dyDescent="0.35">
      <c r="B74" s="15"/>
      <c r="D74" s="17"/>
      <c r="E74" s="17"/>
      <c r="F74" s="19"/>
    </row>
    <row r="75" spans="2:7" x14ac:dyDescent="0.35">
      <c r="B75" s="15"/>
      <c r="D75" s="17"/>
      <c r="E75" s="17"/>
      <c r="F75" s="19"/>
    </row>
    <row r="76" spans="2:7" x14ac:dyDescent="0.35">
      <c r="B76" s="15"/>
      <c r="D76" s="17"/>
      <c r="E76" s="17"/>
      <c r="F76" s="19"/>
    </row>
    <row r="77" spans="2:7" x14ac:dyDescent="0.35">
      <c r="B77" s="15"/>
      <c r="D77" s="16"/>
      <c r="E77" s="17"/>
      <c r="F77" s="19"/>
    </row>
    <row r="78" spans="2:7" x14ac:dyDescent="0.35">
      <c r="B78" s="15"/>
      <c r="D78" s="17"/>
      <c r="E78" s="17"/>
      <c r="F78" s="19"/>
    </row>
    <row r="79" spans="2:7" x14ac:dyDescent="0.35">
      <c r="B79" s="15"/>
      <c r="D79" s="17"/>
      <c r="E79" s="17"/>
      <c r="F79" s="20"/>
    </row>
    <row r="80" spans="2:7" x14ac:dyDescent="0.35">
      <c r="B80" s="15"/>
      <c r="D80" s="17"/>
      <c r="E80" s="17"/>
      <c r="F80" s="20"/>
    </row>
    <row r="81" spans="2:6" x14ac:dyDescent="0.35">
      <c r="B81" s="15"/>
      <c r="D81" s="17"/>
      <c r="F81" s="20"/>
    </row>
    <row r="82" spans="2:6" x14ac:dyDescent="0.35">
      <c r="B82" s="15"/>
      <c r="D82" s="17"/>
      <c r="E82" s="21"/>
      <c r="F82" s="22"/>
    </row>
    <row r="83" spans="2:6" ht="31.75" customHeight="1" x14ac:dyDescent="0.35">
      <c r="B83" s="213" t="s">
        <v>98</v>
      </c>
      <c r="C83" s="180"/>
      <c r="D83" s="180"/>
      <c r="E83" s="180"/>
      <c r="F83" s="214"/>
    </row>
    <row r="84" spans="2:6" x14ac:dyDescent="0.35">
      <c r="B84" s="210" t="s">
        <v>43</v>
      </c>
      <c r="C84" s="211"/>
      <c r="D84" s="211"/>
      <c r="E84" s="211"/>
      <c r="F84" s="212"/>
    </row>
    <row r="85" spans="2:6" x14ac:dyDescent="0.35">
      <c r="B85" s="17"/>
      <c r="D85" s="50"/>
      <c r="E85" s="17"/>
    </row>
    <row r="86" spans="2:6" x14ac:dyDescent="0.35">
      <c r="B86" s="17"/>
      <c r="D86" s="17"/>
      <c r="E86" s="17"/>
    </row>
    <row r="87" spans="2:6" x14ac:dyDescent="0.35">
      <c r="B87" s="17"/>
      <c r="D87" s="17"/>
      <c r="E87" s="17"/>
    </row>
  </sheetData>
  <mergeCells count="56">
    <mergeCell ref="E34:F34"/>
    <mergeCell ref="E57:F57"/>
    <mergeCell ref="E58:F58"/>
    <mergeCell ref="E59:F59"/>
    <mergeCell ref="E32:F32"/>
    <mergeCell ref="E46:F46"/>
    <mergeCell ref="E40:F40"/>
    <mergeCell ref="E35:F35"/>
    <mergeCell ref="E31:F31"/>
    <mergeCell ref="C32:C36"/>
    <mergeCell ref="B84:F84"/>
    <mergeCell ref="B83:F83"/>
    <mergeCell ref="D60:D62"/>
    <mergeCell ref="C60:C62"/>
    <mergeCell ref="C63:C64"/>
    <mergeCell ref="D63:D64"/>
    <mergeCell ref="C65:C66"/>
    <mergeCell ref="D65:D66"/>
    <mergeCell ref="E67:F67"/>
    <mergeCell ref="E49:F49"/>
    <mergeCell ref="B52:B54"/>
    <mergeCell ref="E55:F55"/>
    <mergeCell ref="E56:F56"/>
    <mergeCell ref="E33:F33"/>
    <mergeCell ref="B15:F15"/>
    <mergeCell ref="D20:F20"/>
    <mergeCell ref="D21:F21"/>
    <mergeCell ref="J29:P29"/>
    <mergeCell ref="E54:F54"/>
    <mergeCell ref="E51:F51"/>
    <mergeCell ref="E36:F36"/>
    <mergeCell ref="E41:F41"/>
    <mergeCell ref="E52:F52"/>
    <mergeCell ref="E53:F53"/>
    <mergeCell ref="E50:F50"/>
    <mergeCell ref="E39:F39"/>
    <mergeCell ref="E42:F42"/>
    <mergeCell ref="E45:F45"/>
    <mergeCell ref="E48:F48"/>
    <mergeCell ref="E30:F30"/>
    <mergeCell ref="C2:D2"/>
    <mergeCell ref="C3:D3"/>
    <mergeCell ref="E27:F27"/>
    <mergeCell ref="E28:F28"/>
    <mergeCell ref="E29:F29"/>
    <mergeCell ref="C24:C25"/>
    <mergeCell ref="D24:D25"/>
    <mergeCell ref="B16:F16"/>
    <mergeCell ref="B17:F17"/>
    <mergeCell ref="B18:F18"/>
    <mergeCell ref="C19:E19"/>
    <mergeCell ref="C4:D4"/>
    <mergeCell ref="B11:F11"/>
    <mergeCell ref="B12:F12"/>
    <mergeCell ref="B13:F13"/>
    <mergeCell ref="B14:F14"/>
  </mergeCells>
  <pageMargins left="0.9055118110236221" right="0.15748031496062992" top="0.47244094488188981" bottom="1.1023622047244095" header="0.31496062992125984" footer="0.19685039370078741"/>
  <pageSetup scale="76" fitToWidth="2" fitToHeight="2" orientation="portrait" horizontalDpi="1200" verticalDpi="1200" r:id="rId1"/>
  <rowBreaks count="2" manualBreakCount="2">
    <brk id="37" max="5" man="1"/>
    <brk id="67" max="5"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6"/>
  <sheetViews>
    <sheetView showGridLines="0" tabSelected="1" workbookViewId="0">
      <selection activeCell="H23" sqref="H23"/>
    </sheetView>
  </sheetViews>
  <sheetFormatPr defaultColWidth="9.1796875" defaultRowHeight="13" x14ac:dyDescent="0.3"/>
  <cols>
    <col min="1" max="1" width="9.1796875" style="23"/>
    <col min="2" max="2" width="12.453125" style="23" bestFit="1" customWidth="1"/>
    <col min="3" max="3" width="20" style="23" bestFit="1" customWidth="1"/>
    <col min="4" max="4" width="16.453125" style="23" bestFit="1" customWidth="1"/>
    <col min="5" max="5" width="14.453125" style="23" bestFit="1" customWidth="1"/>
    <col min="6" max="8" width="9.1796875" style="23"/>
    <col min="9" max="9" width="10.453125" style="23" bestFit="1" customWidth="1"/>
    <col min="10" max="11" width="9.1796875" style="23"/>
    <col min="12" max="12" width="11.1796875" style="23" bestFit="1" customWidth="1"/>
    <col min="13" max="13" width="9.1796875" style="23"/>
    <col min="14" max="14" width="11.81640625" style="23" bestFit="1" customWidth="1"/>
    <col min="15" max="15" width="10" style="23" bestFit="1" customWidth="1"/>
    <col min="16" max="16" width="11.1796875" style="23" bestFit="1" customWidth="1"/>
    <col min="17" max="17" width="9.1796875" style="23"/>
    <col min="18" max="18" width="11.1796875" style="23" bestFit="1" customWidth="1"/>
    <col min="19" max="32" width="9.1796875" style="23"/>
    <col min="33" max="33" width="32.54296875" style="23" customWidth="1"/>
    <col min="34" max="34" width="70.1796875" style="23" customWidth="1"/>
    <col min="35" max="16384" width="9.1796875" style="23"/>
  </cols>
  <sheetData>
    <row r="1" spans="1:34" x14ac:dyDescent="0.3">
      <c r="N1" s="24" t="s">
        <v>259</v>
      </c>
      <c r="O1" s="24"/>
    </row>
    <row r="2" spans="1:34" x14ac:dyDescent="0.3">
      <c r="J2" s="24" t="s">
        <v>250</v>
      </c>
      <c r="L2" s="23" t="s">
        <v>101</v>
      </c>
      <c r="N2" s="24" t="s">
        <v>242</v>
      </c>
      <c r="O2" s="24" t="s">
        <v>243</v>
      </c>
    </row>
    <row r="3" spans="1:34" x14ac:dyDescent="0.3">
      <c r="B3" s="23" t="s">
        <v>47</v>
      </c>
      <c r="C3" s="24"/>
      <c r="D3" s="24"/>
      <c r="E3" s="24"/>
      <c r="J3" s="24"/>
      <c r="K3" s="23">
        <v>1</v>
      </c>
      <c r="L3" s="25">
        <v>750</v>
      </c>
      <c r="M3" s="83"/>
      <c r="N3" s="24" t="s">
        <v>263</v>
      </c>
      <c r="O3" s="114" t="s">
        <v>260</v>
      </c>
      <c r="P3" s="83"/>
      <c r="Q3" s="83"/>
    </row>
    <row r="4" spans="1:34" x14ac:dyDescent="0.3">
      <c r="B4" s="23" t="s">
        <v>19</v>
      </c>
      <c r="C4" s="24" t="s">
        <v>180</v>
      </c>
      <c r="D4" s="24" t="s">
        <v>69</v>
      </c>
      <c r="E4" s="24"/>
      <c r="K4" s="23">
        <v>2</v>
      </c>
      <c r="L4" s="25">
        <v>12400</v>
      </c>
      <c r="M4" s="83"/>
      <c r="N4" s="23" t="s">
        <v>264</v>
      </c>
      <c r="O4" s="126" t="s">
        <v>261</v>
      </c>
      <c r="P4" s="83"/>
      <c r="Q4" s="83"/>
    </row>
    <row r="5" spans="1:34" ht="15" x14ac:dyDescent="0.3">
      <c r="B5" s="23" t="s">
        <v>20</v>
      </c>
      <c r="C5" s="24" t="s">
        <v>181</v>
      </c>
      <c r="D5" s="24" t="s">
        <v>255</v>
      </c>
      <c r="E5" s="115"/>
      <c r="I5" s="23">
        <f>111.11+144.44+83.33</f>
        <v>338.88</v>
      </c>
      <c r="K5" s="23">
        <v>3</v>
      </c>
      <c r="L5" s="25">
        <v>11000</v>
      </c>
      <c r="M5" s="83"/>
      <c r="N5" s="23" t="s">
        <v>265</v>
      </c>
      <c r="O5" s="23" t="s">
        <v>262</v>
      </c>
      <c r="AF5" s="76" t="s">
        <v>105</v>
      </c>
      <c r="AG5"/>
      <c r="AH5"/>
    </row>
    <row r="6" spans="1:34" x14ac:dyDescent="0.3">
      <c r="B6" s="23" t="s">
        <v>16</v>
      </c>
      <c r="C6" s="24" t="s">
        <v>68</v>
      </c>
      <c r="D6" s="24" t="s">
        <v>253</v>
      </c>
      <c r="E6" s="116"/>
      <c r="H6" s="98"/>
      <c r="I6" s="23">
        <f>9191.02+11948.08+6893.06</f>
        <v>28032.16</v>
      </c>
      <c r="K6" s="23">
        <v>4</v>
      </c>
      <c r="L6" s="80"/>
      <c r="M6" s="83"/>
      <c r="AF6" s="75"/>
      <c r="AG6"/>
      <c r="AH6"/>
    </row>
    <row r="7" spans="1:34" ht="15" x14ac:dyDescent="0.3">
      <c r="B7" s="23" t="s">
        <v>15</v>
      </c>
      <c r="C7" s="24" t="s">
        <v>56</v>
      </c>
      <c r="D7" s="24" t="s">
        <v>256</v>
      </c>
      <c r="E7" s="116"/>
      <c r="L7" s="25">
        <f>SUM(L3:L6)</f>
        <v>24150</v>
      </c>
      <c r="M7" s="83"/>
      <c r="AF7" s="77" t="s">
        <v>106</v>
      </c>
      <c r="AG7" s="77" t="s">
        <v>107</v>
      </c>
      <c r="AH7" s="77" t="s">
        <v>108</v>
      </c>
    </row>
    <row r="8" spans="1:34" ht="15" x14ac:dyDescent="0.3">
      <c r="C8" s="23">
        <v>90</v>
      </c>
      <c r="AF8" s="78">
        <v>-1</v>
      </c>
      <c r="AG8" s="78">
        <v>-2</v>
      </c>
      <c r="AH8" s="78">
        <v>-3</v>
      </c>
    </row>
    <row r="9" spans="1:34" ht="15.5" x14ac:dyDescent="0.3">
      <c r="C9" s="23" t="s">
        <v>21</v>
      </c>
      <c r="D9" s="23" t="s">
        <v>27</v>
      </c>
      <c r="E9" s="23" t="s">
        <v>28</v>
      </c>
      <c r="F9" s="23" t="s">
        <v>32</v>
      </c>
      <c r="AF9" s="79">
        <v>1</v>
      </c>
      <c r="AG9" s="79" t="s">
        <v>109</v>
      </c>
      <c r="AH9" s="79" t="s">
        <v>110</v>
      </c>
    </row>
    <row r="10" spans="1:34" ht="15.5" x14ac:dyDescent="0.3">
      <c r="A10" s="23">
        <v>100</v>
      </c>
      <c r="B10" s="23" t="s">
        <v>22</v>
      </c>
      <c r="C10" s="81">
        <f>ROUND((L7/(100-A11*1)%),2)</f>
        <v>26833.33</v>
      </c>
      <c r="D10" s="88">
        <f>D16</f>
        <v>86.028211999999996</v>
      </c>
      <c r="E10" s="25">
        <f>ROUND(C10*D10,0)</f>
        <v>2308423</v>
      </c>
      <c r="F10" s="23" t="str">
        <f>C7</f>
        <v xml:space="preserve">USD </v>
      </c>
      <c r="G10" s="23" t="str">
        <f>F10&amp;C10</f>
        <v>USD 26833.33</v>
      </c>
      <c r="K10" s="23" t="s">
        <v>39</v>
      </c>
      <c r="M10" s="31">
        <f>ROUNDUP((L7/(100-C13)%),2)</f>
        <v>30492.429999999997</v>
      </c>
      <c r="O10" s="23" t="s">
        <v>99</v>
      </c>
      <c r="P10" s="25">
        <f>ROUND(M10*D16,0)</f>
        <v>2623209</v>
      </c>
      <c r="AF10" s="79">
        <v>2</v>
      </c>
      <c r="AG10" s="79" t="s">
        <v>111</v>
      </c>
      <c r="AH10" s="79" t="s">
        <v>112</v>
      </c>
    </row>
    <row r="11" spans="1:34" ht="15.5" x14ac:dyDescent="0.3">
      <c r="A11" s="99">
        <f>C14</f>
        <v>10</v>
      </c>
      <c r="B11" s="23" t="s">
        <v>23</v>
      </c>
      <c r="C11" s="90">
        <f>ROUND((C10*A11%),2)</f>
        <v>2683.33</v>
      </c>
      <c r="D11" s="88">
        <f>D10</f>
        <v>86.028211999999996</v>
      </c>
      <c r="E11" s="25">
        <f>ROUND(C11*D11,0)</f>
        <v>230842</v>
      </c>
      <c r="F11" s="23" t="str">
        <f>F10</f>
        <v xml:space="preserve">USD </v>
      </c>
      <c r="G11" s="23" t="str">
        <f>F11&amp;C11</f>
        <v>USD 2683.33</v>
      </c>
      <c r="H11" s="23" t="s">
        <v>55</v>
      </c>
      <c r="I11" s="23" t="s">
        <v>14</v>
      </c>
      <c r="K11" s="23" t="s">
        <v>37</v>
      </c>
      <c r="L11" s="83"/>
      <c r="O11" s="23" t="s">
        <v>99</v>
      </c>
      <c r="P11" s="25">
        <f>ROUND(P10*C13%,0)</f>
        <v>545627</v>
      </c>
      <c r="Q11" s="23" t="str">
        <f>O11&amp;ROUND((E10*10.4%),0)</f>
        <v>Rs. 240076</v>
      </c>
      <c r="R11" s="83"/>
      <c r="AF11" s="79">
        <v>3</v>
      </c>
      <c r="AG11" s="79" t="s">
        <v>113</v>
      </c>
      <c r="AH11" s="79" t="s">
        <v>114</v>
      </c>
    </row>
    <row r="12" spans="1:34" ht="15.5" x14ac:dyDescent="0.3">
      <c r="A12" s="25">
        <f>A10-A11</f>
        <v>90</v>
      </c>
      <c r="B12" s="23" t="s">
        <v>24</v>
      </c>
      <c r="C12" s="25">
        <f>C10-C11</f>
        <v>24150</v>
      </c>
      <c r="D12" s="88">
        <f>D11</f>
        <v>86.028211999999996</v>
      </c>
      <c r="E12" s="25">
        <f>E10-E11</f>
        <v>2077581</v>
      </c>
      <c r="F12" s="23" t="str">
        <f>F11</f>
        <v xml:space="preserve">USD </v>
      </c>
      <c r="G12" s="23" t="str">
        <f>F12&amp;C12</f>
        <v>USD 24150</v>
      </c>
      <c r="K12" s="23" t="s">
        <v>36</v>
      </c>
      <c r="O12" s="23" t="s">
        <v>99</v>
      </c>
      <c r="P12" s="25">
        <f>P10-P11</f>
        <v>2077582</v>
      </c>
      <c r="AF12" s="79">
        <v>4</v>
      </c>
      <c r="AG12" s="79" t="s">
        <v>115</v>
      </c>
      <c r="AH12" s="79" t="s">
        <v>116</v>
      </c>
    </row>
    <row r="13" spans="1:34" ht="15.5" x14ac:dyDescent="0.3">
      <c r="B13" s="23" t="s">
        <v>26</v>
      </c>
      <c r="C13" s="30">
        <v>20.8</v>
      </c>
      <c r="D13" s="24" t="s">
        <v>64</v>
      </c>
      <c r="G13" s="23" t="str">
        <f>C13&amp;D13</f>
        <v xml:space="preserve">20.8% </v>
      </c>
      <c r="AF13" s="79">
        <v>5</v>
      </c>
      <c r="AG13" s="79" t="s">
        <v>117</v>
      </c>
      <c r="AH13" s="79" t="s">
        <v>118</v>
      </c>
    </row>
    <row r="14" spans="1:34" ht="15.5" x14ac:dyDescent="0.3">
      <c r="B14" s="23" t="s">
        <v>34</v>
      </c>
      <c r="C14" s="24">
        <v>10</v>
      </c>
      <c r="D14" s="24" t="s">
        <v>241</v>
      </c>
      <c r="G14" s="85" t="str">
        <f>C14&amp;D14</f>
        <v>10% (Since TRC provided tax @ 10%)</v>
      </c>
      <c r="O14" s="62" t="s">
        <v>100</v>
      </c>
      <c r="P14" s="23" t="str">
        <f>C14&amp;O14</f>
        <v>10%</v>
      </c>
      <c r="AF14" s="79">
        <v>6</v>
      </c>
      <c r="AG14" s="79" t="s">
        <v>119</v>
      </c>
      <c r="AH14" s="79" t="s">
        <v>120</v>
      </c>
    </row>
    <row r="15" spans="1:34" ht="31" x14ac:dyDescent="0.3">
      <c r="D15" s="84" t="s">
        <v>171</v>
      </c>
      <c r="G15" s="85" t="str">
        <f>C14&amp;D15</f>
        <v>10 (Since TRC not provided tax @ 25.75%)</v>
      </c>
      <c r="AF15" s="79">
        <v>7</v>
      </c>
      <c r="AG15" s="79" t="s">
        <v>121</v>
      </c>
      <c r="AH15" s="79" t="s">
        <v>122</v>
      </c>
    </row>
    <row r="16" spans="1:34" ht="15.5" x14ac:dyDescent="0.3">
      <c r="B16" s="23" t="s">
        <v>25</v>
      </c>
      <c r="C16" s="23" t="s">
        <v>29</v>
      </c>
      <c r="D16" s="113">
        <v>86.028211999999996</v>
      </c>
      <c r="E16" s="23" t="str">
        <f>C16&amp;D16</f>
        <v>(approx) @ 86.028212</v>
      </c>
      <c r="I16" s="82">
        <v>478719.32</v>
      </c>
      <c r="K16" s="82">
        <v>3290</v>
      </c>
      <c r="N16" s="23">
        <f>527753.67/6935</f>
        <v>76.100024513338141</v>
      </c>
      <c r="AF16" s="79">
        <v>8</v>
      </c>
      <c r="AG16" s="79" t="s">
        <v>123</v>
      </c>
      <c r="AH16" s="79" t="s">
        <v>124</v>
      </c>
    </row>
    <row r="17" spans="2:34" ht="15.5" x14ac:dyDescent="0.3">
      <c r="I17" s="83">
        <f>I16/6450</f>
        <v>74.220049612403102</v>
      </c>
      <c r="AF17" s="79">
        <v>9</v>
      </c>
      <c r="AG17" s="79" t="s">
        <v>125</v>
      </c>
      <c r="AH17" s="79" t="s">
        <v>126</v>
      </c>
    </row>
    <row r="18" spans="2:34" ht="15.5" x14ac:dyDescent="0.3">
      <c r="B18" s="23" t="s">
        <v>35</v>
      </c>
      <c r="C18" s="24" t="s">
        <v>38</v>
      </c>
      <c r="D18" s="23" t="str">
        <f>D19&amp;C12&amp;K12&amp;A10&amp;K11&amp;A12&amp;K10&amp;C10&amp;E19</f>
        <v>(24150*100/90=26833.33)</v>
      </c>
      <c r="AF18" s="79">
        <v>10</v>
      </c>
      <c r="AG18" s="79" t="s">
        <v>127</v>
      </c>
      <c r="AH18" s="79" t="s">
        <v>128</v>
      </c>
    </row>
    <row r="19" spans="2:34" ht="15.5" x14ac:dyDescent="0.3">
      <c r="C19" s="24" t="s">
        <v>40</v>
      </c>
      <c r="D19" s="23" t="s">
        <v>57</v>
      </c>
      <c r="E19" s="23" t="s">
        <v>58</v>
      </c>
      <c r="AF19" s="79">
        <v>11</v>
      </c>
      <c r="AG19" s="79" t="s">
        <v>129</v>
      </c>
      <c r="AH19" s="79" t="s">
        <v>130</v>
      </c>
    </row>
    <row r="20" spans="2:34" ht="15.5" x14ac:dyDescent="0.3">
      <c r="AF20" s="79">
        <v>12</v>
      </c>
      <c r="AG20" s="79" t="s">
        <v>131</v>
      </c>
      <c r="AH20" s="79" t="s">
        <v>132</v>
      </c>
    </row>
    <row r="21" spans="2:34" ht="15.5" x14ac:dyDescent="0.3">
      <c r="AF21" s="79">
        <v>13</v>
      </c>
      <c r="AG21" s="79" t="s">
        <v>133</v>
      </c>
      <c r="AH21" s="79" t="s">
        <v>134</v>
      </c>
    </row>
    <row r="22" spans="2:34" ht="15.5" x14ac:dyDescent="0.3">
      <c r="B22" s="23" t="s">
        <v>7</v>
      </c>
      <c r="C22" s="23">
        <v>6360106</v>
      </c>
      <c r="D22" s="23" t="s">
        <v>63</v>
      </c>
      <c r="E22" s="23" t="s">
        <v>66</v>
      </c>
      <c r="F22" s="23">
        <f>F23</f>
        <v>6160073</v>
      </c>
      <c r="AF22" s="79">
        <v>14</v>
      </c>
      <c r="AG22" s="79" t="s">
        <v>135</v>
      </c>
      <c r="AH22" s="79" t="s">
        <v>136</v>
      </c>
    </row>
    <row r="23" spans="2:34" ht="15.5" x14ac:dyDescent="0.3">
      <c r="D23" s="29">
        <v>6470101</v>
      </c>
      <c r="E23" s="23" t="s">
        <v>65</v>
      </c>
      <c r="F23" s="102">
        <v>6160073</v>
      </c>
      <c r="G23" s="23" t="s">
        <v>247</v>
      </c>
      <c r="AF23" s="79">
        <v>15</v>
      </c>
      <c r="AG23" s="79" t="s">
        <v>137</v>
      </c>
      <c r="AH23" s="79" t="s">
        <v>138</v>
      </c>
    </row>
    <row r="24" spans="2:34" ht="31" x14ac:dyDescent="0.3">
      <c r="G24" s="23">
        <v>5560065</v>
      </c>
      <c r="AF24" s="79">
        <v>16</v>
      </c>
      <c r="AG24" s="79" t="s">
        <v>139</v>
      </c>
      <c r="AH24" s="79" t="s">
        <v>140</v>
      </c>
    </row>
    <row r="25" spans="2:34" ht="15.5" x14ac:dyDescent="0.3">
      <c r="AF25" s="79">
        <v>17</v>
      </c>
      <c r="AG25" s="79" t="s">
        <v>141</v>
      </c>
      <c r="AH25" s="79" t="s">
        <v>142</v>
      </c>
    </row>
    <row r="26" spans="2:34" ht="15.5" x14ac:dyDescent="0.3">
      <c r="B26" s="24" t="s">
        <v>30</v>
      </c>
      <c r="C26" s="26">
        <f>C27+9+2+3+5</f>
        <v>45766</v>
      </c>
      <c r="AF26" s="79">
        <v>18</v>
      </c>
      <c r="AG26" s="79" t="s">
        <v>143</v>
      </c>
      <c r="AH26" s="79" t="s">
        <v>144</v>
      </c>
    </row>
    <row r="27" spans="2:34" ht="15.5" x14ac:dyDescent="0.3">
      <c r="B27" s="24" t="s">
        <v>12</v>
      </c>
      <c r="C27" s="26">
        <f>C28</f>
        <v>45747</v>
      </c>
      <c r="D27" s="23" t="s">
        <v>41</v>
      </c>
      <c r="AF27" s="79">
        <v>19</v>
      </c>
      <c r="AG27" s="79" t="s">
        <v>145</v>
      </c>
      <c r="AH27" s="79" t="s">
        <v>146</v>
      </c>
    </row>
    <row r="28" spans="2:34" ht="15.5" x14ac:dyDescent="0.3">
      <c r="B28" s="24" t="s">
        <v>44</v>
      </c>
      <c r="C28" s="26">
        <v>45747</v>
      </c>
      <c r="D28" s="27">
        <v>45177</v>
      </c>
      <c r="E28" s="28"/>
      <c r="AF28" s="79">
        <v>20</v>
      </c>
      <c r="AG28" s="79" t="s">
        <v>147</v>
      </c>
      <c r="AH28" s="79" t="s">
        <v>148</v>
      </c>
    </row>
    <row r="29" spans="2:34" ht="15.5" x14ac:dyDescent="0.3">
      <c r="B29" s="24" t="s">
        <v>167</v>
      </c>
      <c r="C29" s="24" t="s">
        <v>168</v>
      </c>
      <c r="AF29" s="79">
        <v>21</v>
      </c>
      <c r="AG29" s="79" t="s">
        <v>149</v>
      </c>
      <c r="AH29" s="79" t="s">
        <v>150</v>
      </c>
    </row>
    <row r="30" spans="2:34" ht="15.5" x14ac:dyDescent="0.3">
      <c r="B30" s="24" t="s">
        <v>42</v>
      </c>
      <c r="C30" s="24"/>
      <c r="D30" s="23" t="str">
        <f>B30&amp;C30</f>
        <v xml:space="preserve">**Certificate No. : </v>
      </c>
      <c r="AF30" s="79">
        <v>22</v>
      </c>
      <c r="AG30" s="79" t="s">
        <v>151</v>
      </c>
      <c r="AH30" s="79" t="s">
        <v>152</v>
      </c>
    </row>
    <row r="31" spans="2:34" ht="15.5" x14ac:dyDescent="0.3">
      <c r="AF31" s="79">
        <v>23</v>
      </c>
      <c r="AG31" s="79" t="s">
        <v>153</v>
      </c>
      <c r="AH31" s="79" t="s">
        <v>154</v>
      </c>
    </row>
    <row r="32" spans="2:34" ht="31" x14ac:dyDescent="0.3">
      <c r="AF32" s="79">
        <v>24</v>
      </c>
      <c r="AG32" s="79" t="s">
        <v>155</v>
      </c>
      <c r="AH32" s="79" t="s">
        <v>156</v>
      </c>
    </row>
    <row r="33" spans="32:34" ht="15.5" x14ac:dyDescent="0.3">
      <c r="AF33" s="79">
        <v>25</v>
      </c>
      <c r="AG33" s="79" t="s">
        <v>157</v>
      </c>
      <c r="AH33" s="79" t="s">
        <v>158</v>
      </c>
    </row>
    <row r="34" spans="32:34" ht="15.5" x14ac:dyDescent="0.3">
      <c r="AF34" s="79">
        <v>26</v>
      </c>
      <c r="AG34" s="79" t="s">
        <v>159</v>
      </c>
      <c r="AH34" s="79" t="s">
        <v>160</v>
      </c>
    </row>
    <row r="35" spans="32:34" ht="15.5" x14ac:dyDescent="0.3">
      <c r="AF35" s="79">
        <v>27</v>
      </c>
      <c r="AG35" s="79" t="s">
        <v>161</v>
      </c>
      <c r="AH35" s="79" t="s">
        <v>162</v>
      </c>
    </row>
    <row r="36" spans="32:34" ht="15.5" x14ac:dyDescent="0.3">
      <c r="AF36" s="79">
        <v>28</v>
      </c>
      <c r="AG36" s="79" t="s">
        <v>163</v>
      </c>
      <c r="AH36" s="79" t="s">
        <v>164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8"/>
  <sheetViews>
    <sheetView workbookViewId="0">
      <pane xSplit="3" ySplit="1" topLeftCell="V2" activePane="bottomRight" state="frozen"/>
      <selection pane="topRight" activeCell="D1" sqref="D1"/>
      <selection pane="bottomLeft" activeCell="A3" sqref="A3"/>
      <selection pane="bottomRight" activeCell="W3" sqref="W3:Y3"/>
    </sheetView>
  </sheetViews>
  <sheetFormatPr defaultColWidth="9.1796875" defaultRowHeight="14.5" x14ac:dyDescent="0.35"/>
  <cols>
    <col min="1" max="1" width="6.54296875" style="89" bestFit="1" customWidth="1"/>
    <col min="2" max="2" width="6.54296875" style="89" customWidth="1"/>
    <col min="3" max="3" width="28.453125" style="89" customWidth="1"/>
    <col min="4" max="4" width="12.453125" style="89" customWidth="1"/>
    <col min="5" max="5" width="3.81640625" style="89" customWidth="1"/>
    <col min="6" max="6" width="10.81640625" style="89" customWidth="1"/>
    <col min="7" max="8" width="10" style="89" customWidth="1"/>
    <col min="9" max="9" width="16.81640625" style="89" bestFit="1" customWidth="1"/>
    <col min="10" max="10" width="14.54296875" style="89" bestFit="1" customWidth="1"/>
    <col min="11" max="11" width="9.1796875" style="89"/>
    <col min="12" max="12" width="12.54296875" style="89" bestFit="1" customWidth="1"/>
    <col min="13" max="13" width="10" style="89" bestFit="1" customWidth="1"/>
    <col min="14" max="14" width="12.54296875" style="89" bestFit="1" customWidth="1"/>
    <col min="15" max="15" width="16.54296875" style="89" customWidth="1"/>
    <col min="16" max="16" width="9.1796875" style="89"/>
    <col min="17" max="17" width="33.453125" style="89" customWidth="1"/>
    <col min="18" max="18" width="15.1796875" style="92" customWidth="1"/>
    <col min="19" max="20" width="15.54296875" style="89" customWidth="1"/>
    <col min="21" max="21" width="106.453125" style="89" bestFit="1" customWidth="1"/>
    <col min="22" max="22" width="67.26953125" style="89" bestFit="1" customWidth="1"/>
    <col min="23" max="26" width="9.1796875" style="89"/>
    <col min="27" max="27" width="10.54296875" style="89" bestFit="1" customWidth="1"/>
    <col min="28" max="28" width="9.1796875" style="93"/>
    <col min="29" max="29" width="10.54296875" style="93" customWidth="1"/>
    <col min="30" max="31" width="9.1796875" style="93" customWidth="1"/>
    <col min="32" max="33" width="10.54296875" style="97" customWidth="1"/>
    <col min="34" max="34" width="10.54296875" style="93" customWidth="1"/>
    <col min="35" max="35" width="10.453125" style="93" bestFit="1" customWidth="1"/>
    <col min="36" max="36" width="9.1796875" style="93" customWidth="1"/>
    <col min="37" max="37" width="9.1796875" style="89" customWidth="1"/>
    <col min="38" max="16384" width="9.1796875" style="89"/>
  </cols>
  <sheetData>
    <row r="1" spans="1:34" x14ac:dyDescent="0.35">
      <c r="AC1" s="95"/>
      <c r="AD1" s="95"/>
      <c r="AE1" s="95"/>
      <c r="AF1" s="96"/>
      <c r="AG1" s="96"/>
      <c r="AH1" s="95"/>
    </row>
    <row r="2" spans="1:34" ht="26" x14ac:dyDescent="0.35">
      <c r="A2" s="86" t="s">
        <v>45</v>
      </c>
      <c r="B2" s="86" t="s">
        <v>60</v>
      </c>
      <c r="C2" s="87" t="s">
        <v>46</v>
      </c>
      <c r="D2" s="87" t="s">
        <v>47</v>
      </c>
      <c r="E2" s="86" t="s">
        <v>167</v>
      </c>
      <c r="F2" s="86" t="s">
        <v>48</v>
      </c>
      <c r="G2" s="118" t="s">
        <v>49</v>
      </c>
      <c r="H2" s="118" t="s">
        <v>242</v>
      </c>
      <c r="I2" s="118" t="s">
        <v>257</v>
      </c>
      <c r="J2" s="86" t="s">
        <v>258</v>
      </c>
      <c r="K2" s="86" t="s">
        <v>50</v>
      </c>
      <c r="L2" s="119" t="s">
        <v>22</v>
      </c>
      <c r="M2" s="119" t="s">
        <v>51</v>
      </c>
      <c r="N2" s="119" t="s">
        <v>24</v>
      </c>
      <c r="O2" s="119" t="s">
        <v>172</v>
      </c>
      <c r="P2" s="86" t="s">
        <v>53</v>
      </c>
      <c r="Q2" s="120" t="s">
        <v>52</v>
      </c>
      <c r="R2" s="121" t="s">
        <v>165</v>
      </c>
      <c r="S2" s="86" t="s">
        <v>169</v>
      </c>
      <c r="T2" s="86" t="s">
        <v>250</v>
      </c>
      <c r="U2" s="86" t="s">
        <v>54</v>
      </c>
      <c r="V2" s="122" t="s">
        <v>251</v>
      </c>
      <c r="W2" s="123" t="s">
        <v>252</v>
      </c>
      <c r="X2" s="124" t="s">
        <v>253</v>
      </c>
      <c r="Y2" s="124" t="s">
        <v>254</v>
      </c>
    </row>
    <row r="3" spans="1:34" x14ac:dyDescent="0.35">
      <c r="C3" s="89" t="str">
        <f>'Revised Form15CB'!D20</f>
        <v>K &amp; C Medical Co. Ltd.</v>
      </c>
      <c r="F3" s="89" t="str">
        <f>'Basic Data'!C6</f>
        <v>Taiwan</v>
      </c>
      <c r="H3" s="89" t="str">
        <f>'Basic Data'!N3</f>
        <v>19/35555</v>
      </c>
      <c r="I3" s="89" t="str">
        <f>'Basic Data'!O3</f>
        <v>ML103/Mar/2025</v>
      </c>
      <c r="J3" s="91">
        <f>'Basic Data'!C28</f>
        <v>45747</v>
      </c>
      <c r="K3" s="89" t="str">
        <f>'Basic Data'!C7</f>
        <v xml:space="preserve">USD </v>
      </c>
      <c r="L3" s="125">
        <f>'Basic Data'!C10</f>
        <v>26833.33</v>
      </c>
      <c r="M3" s="125">
        <f>'Basic Data'!C11</f>
        <v>2683.33</v>
      </c>
      <c r="N3" s="125">
        <f>'Basic Data'!C12</f>
        <v>24150</v>
      </c>
      <c r="O3" s="89">
        <f>'Revised Form15CB'!F66</f>
        <v>2077581</v>
      </c>
      <c r="P3" s="89" t="s">
        <v>38</v>
      </c>
      <c r="Q3" s="89" t="str">
        <f>'Revised Form15CB'!E30</f>
        <v>Consultancy fees</v>
      </c>
      <c r="R3" s="125">
        <f>'Basic Data'!A11</f>
        <v>10</v>
      </c>
      <c r="U3" s="89" t="str">
        <f>'Revised Form15CB'!D21</f>
        <v>4F, No 53, Lane 147, Anxiang Road, Xindia District, New Taipei City, R.O.C. 10041</v>
      </c>
      <c r="V3" s="89" t="str">
        <f>'Revised Form15CB'!E42</f>
        <v>Article 12 - Royalties and Fees for Technical Services of India-Taipei DTAA</v>
      </c>
    </row>
    <row r="4" spans="1:34" x14ac:dyDescent="0.35">
      <c r="R4" s="94"/>
    </row>
    <row r="5" spans="1:34" x14ac:dyDescent="0.35">
      <c r="R5" s="94"/>
    </row>
    <row r="6" spans="1:34" x14ac:dyDescent="0.35">
      <c r="R6" s="94"/>
    </row>
    <row r="7" spans="1:34" x14ac:dyDescent="0.35">
      <c r="R7" s="94"/>
    </row>
    <row r="8" spans="1:34" x14ac:dyDescent="0.35">
      <c r="R8" s="94"/>
    </row>
  </sheetData>
  <pageMargins left="0.13" right="0.13" top="0.99" bottom="0.74803149606299213"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Table 1</vt:lpstr>
      <vt:lpstr>Revised Form15CB</vt:lpstr>
      <vt:lpstr>Basic Data</vt:lpstr>
      <vt:lpstr>2015-16</vt:lpstr>
      <vt:lpstr>'Revised Form15CB'!Print_Area</vt:lpstr>
      <vt:lpstr>'Table 1'!Print_Area</vt:lpstr>
    </vt:vector>
  </TitlesOfParts>
  <Company>RRG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Mustufa Makwana</dc:creator>
  <cp:lastModifiedBy>Saurabh Tiwari</cp:lastModifiedBy>
  <cp:lastPrinted>2025-04-14T10:00:15Z</cp:lastPrinted>
  <dcterms:created xsi:type="dcterms:W3CDTF">2012-09-14T05:30:34Z</dcterms:created>
  <dcterms:modified xsi:type="dcterms:W3CDTF">2026-02-04T06:18:28Z</dcterms:modified>
</cp:coreProperties>
</file>